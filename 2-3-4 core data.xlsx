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iz\Desktop\"/>
    </mc:Choice>
  </mc:AlternateContent>
  <bookViews>
    <workbookView xWindow="0" yWindow="0" windowWidth="28800" windowHeight="12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8" i="1" l="1"/>
  <c r="K78" i="1"/>
  <c r="G78" i="1"/>
  <c r="J78" i="1" s="1"/>
  <c r="C78" i="1"/>
  <c r="L77" i="1"/>
  <c r="K77" i="1"/>
  <c r="J77" i="1"/>
  <c r="M77" i="1" s="1"/>
  <c r="G77" i="1"/>
  <c r="C77" i="1"/>
  <c r="R76" i="1"/>
  <c r="Q76" i="1"/>
  <c r="K76" i="1"/>
  <c r="J76" i="1"/>
  <c r="M76" i="1" s="1"/>
  <c r="N76" i="1" s="1"/>
  <c r="O76" i="1" s="1"/>
  <c r="P76" i="1" s="1"/>
  <c r="G76" i="1"/>
  <c r="L76" i="1" s="1"/>
  <c r="C76" i="1"/>
  <c r="K75" i="1"/>
  <c r="G75" i="1"/>
  <c r="C75" i="1"/>
  <c r="L74" i="1"/>
  <c r="K74" i="1"/>
  <c r="G74" i="1"/>
  <c r="J74" i="1" s="1"/>
  <c r="C74" i="1"/>
  <c r="K73" i="1"/>
  <c r="J73" i="1"/>
  <c r="M73" i="1" s="1"/>
  <c r="G73" i="1"/>
  <c r="L73" i="1" s="1"/>
  <c r="C73" i="1"/>
  <c r="K72" i="1"/>
  <c r="J72" i="1"/>
  <c r="M72" i="1" s="1"/>
  <c r="N72" i="1" s="1"/>
  <c r="O72" i="1" s="1"/>
  <c r="P72" i="1" s="1"/>
  <c r="G72" i="1"/>
  <c r="L72" i="1" s="1"/>
  <c r="C72" i="1"/>
  <c r="K71" i="1"/>
  <c r="G71" i="1"/>
  <c r="C71" i="1"/>
  <c r="L70" i="1"/>
  <c r="K70" i="1"/>
  <c r="G70" i="1"/>
  <c r="J70" i="1" s="1"/>
  <c r="C70" i="1"/>
  <c r="K69" i="1"/>
  <c r="J69" i="1"/>
  <c r="M69" i="1" s="1"/>
  <c r="G69" i="1"/>
  <c r="L69" i="1" s="1"/>
  <c r="C69" i="1"/>
  <c r="K68" i="1"/>
  <c r="J68" i="1"/>
  <c r="M68" i="1" s="1"/>
  <c r="N68" i="1" s="1"/>
  <c r="O68" i="1" s="1"/>
  <c r="P68" i="1" s="1"/>
  <c r="G68" i="1"/>
  <c r="L68" i="1" s="1"/>
  <c r="C68" i="1"/>
  <c r="K65" i="1"/>
  <c r="G65" i="1"/>
  <c r="C65" i="1"/>
  <c r="L64" i="1"/>
  <c r="K64" i="1"/>
  <c r="G64" i="1"/>
  <c r="J64" i="1" s="1"/>
  <c r="C64" i="1"/>
  <c r="K63" i="1"/>
  <c r="J63" i="1"/>
  <c r="M63" i="1" s="1"/>
  <c r="N63" i="1" s="1"/>
  <c r="O63" i="1" s="1"/>
  <c r="G63" i="1"/>
  <c r="L63" i="1" s="1"/>
  <c r="C63" i="1"/>
  <c r="Q62" i="1"/>
  <c r="R62" i="1" s="1"/>
  <c r="K62" i="1"/>
  <c r="J62" i="1"/>
  <c r="M62" i="1" s="1"/>
  <c r="N62" i="1" s="1"/>
  <c r="O62" i="1" s="1"/>
  <c r="P62" i="1" s="1"/>
  <c r="G62" i="1"/>
  <c r="L62" i="1" s="1"/>
  <c r="C62" i="1"/>
  <c r="K61" i="1"/>
  <c r="G61" i="1"/>
  <c r="C61" i="1"/>
  <c r="L60" i="1"/>
  <c r="K60" i="1"/>
  <c r="G60" i="1"/>
  <c r="J60" i="1" s="1"/>
  <c r="C60" i="1"/>
  <c r="K59" i="1"/>
  <c r="J59" i="1"/>
  <c r="M59" i="1" s="1"/>
  <c r="G59" i="1"/>
  <c r="L59" i="1" s="1"/>
  <c r="C59" i="1"/>
  <c r="R58" i="1"/>
  <c r="Q58" i="1"/>
  <c r="K58" i="1"/>
  <c r="J58" i="1"/>
  <c r="M58" i="1" s="1"/>
  <c r="N58" i="1" s="1"/>
  <c r="O58" i="1" s="1"/>
  <c r="P58" i="1" s="1"/>
  <c r="G58" i="1"/>
  <c r="L58" i="1" s="1"/>
  <c r="C58" i="1"/>
  <c r="K57" i="1"/>
  <c r="G57" i="1"/>
  <c r="C57" i="1"/>
  <c r="L56" i="1"/>
  <c r="K56" i="1"/>
  <c r="G56" i="1"/>
  <c r="J56" i="1" s="1"/>
  <c r="C56" i="1"/>
  <c r="K55" i="1"/>
  <c r="J55" i="1"/>
  <c r="M55" i="1" s="1"/>
  <c r="G55" i="1"/>
  <c r="L55" i="1" s="1"/>
  <c r="C55" i="1"/>
  <c r="K52" i="1"/>
  <c r="J52" i="1"/>
  <c r="M52" i="1" s="1"/>
  <c r="N52" i="1" s="1"/>
  <c r="O52" i="1" s="1"/>
  <c r="P52" i="1" s="1"/>
  <c r="G52" i="1"/>
  <c r="L52" i="1" s="1"/>
  <c r="C52" i="1"/>
  <c r="K51" i="1"/>
  <c r="G51" i="1"/>
  <c r="C51" i="1"/>
  <c r="L50" i="1"/>
  <c r="K50" i="1"/>
  <c r="G50" i="1"/>
  <c r="J50" i="1" s="1"/>
  <c r="C50" i="1"/>
  <c r="K49" i="1"/>
  <c r="J49" i="1"/>
  <c r="M49" i="1" s="1"/>
  <c r="G49" i="1"/>
  <c r="L49" i="1" s="1"/>
  <c r="C49" i="1"/>
  <c r="K48" i="1"/>
  <c r="J48" i="1"/>
  <c r="M48" i="1" s="1"/>
  <c r="N48" i="1" s="1"/>
  <c r="O48" i="1" s="1"/>
  <c r="P48" i="1" s="1"/>
  <c r="G48" i="1"/>
  <c r="L48" i="1" s="1"/>
  <c r="C48" i="1"/>
  <c r="K47" i="1"/>
  <c r="G47" i="1"/>
  <c r="C47" i="1"/>
  <c r="L46" i="1"/>
  <c r="K46" i="1"/>
  <c r="J46" i="1"/>
  <c r="G46" i="1"/>
  <c r="C46" i="1"/>
  <c r="K45" i="1"/>
  <c r="N45" i="1" s="1"/>
  <c r="O45" i="1" s="1"/>
  <c r="J45" i="1"/>
  <c r="M45" i="1" s="1"/>
  <c r="G45" i="1"/>
  <c r="L45" i="1" s="1"/>
  <c r="C45" i="1"/>
  <c r="M44" i="1"/>
  <c r="N44" i="1" s="1"/>
  <c r="O44" i="1" s="1"/>
  <c r="K44" i="1"/>
  <c r="J44" i="1"/>
  <c r="G44" i="1"/>
  <c r="L44" i="1" s="1"/>
  <c r="C44" i="1"/>
  <c r="L43" i="1"/>
  <c r="K43" i="1"/>
  <c r="G43" i="1"/>
  <c r="J43" i="1" s="1"/>
  <c r="M43" i="1" s="1"/>
  <c r="N43" i="1" s="1"/>
  <c r="O43" i="1" s="1"/>
  <c r="P43" i="1" s="1"/>
  <c r="C43" i="1"/>
  <c r="O42" i="1"/>
  <c r="Q42" i="1" s="1"/>
  <c r="R42" i="1" s="1"/>
  <c r="L42" i="1"/>
  <c r="K42" i="1"/>
  <c r="J42" i="1"/>
  <c r="M42" i="1" s="1"/>
  <c r="N42" i="1" s="1"/>
  <c r="G42" i="1"/>
  <c r="C42" i="1"/>
  <c r="K39" i="1"/>
  <c r="J39" i="1"/>
  <c r="G39" i="1"/>
  <c r="L39" i="1" s="1"/>
  <c r="C39" i="1"/>
  <c r="K38" i="1"/>
  <c r="G38" i="1"/>
  <c r="C38" i="1"/>
  <c r="M37" i="1"/>
  <c r="N37" i="1" s="1"/>
  <c r="O37" i="1" s="1"/>
  <c r="L37" i="1"/>
  <c r="K37" i="1"/>
  <c r="G37" i="1"/>
  <c r="J37" i="1" s="1"/>
  <c r="C37" i="1"/>
  <c r="L36" i="1"/>
  <c r="K36" i="1"/>
  <c r="J36" i="1"/>
  <c r="M36" i="1" s="1"/>
  <c r="G36" i="1"/>
  <c r="C36" i="1"/>
  <c r="K35" i="1"/>
  <c r="J35" i="1"/>
  <c r="G35" i="1"/>
  <c r="L35" i="1" s="1"/>
  <c r="C35" i="1"/>
  <c r="K34" i="1"/>
  <c r="J34" i="1"/>
  <c r="M34" i="1" s="1"/>
  <c r="N34" i="1" s="1"/>
  <c r="O34" i="1" s="1"/>
  <c r="G34" i="1"/>
  <c r="L34" i="1" s="1"/>
  <c r="C34" i="1"/>
  <c r="K33" i="1"/>
  <c r="G33" i="1"/>
  <c r="C33" i="1"/>
  <c r="L32" i="1"/>
  <c r="K32" i="1"/>
  <c r="G32" i="1"/>
  <c r="J32" i="1" s="1"/>
  <c r="C32" i="1"/>
  <c r="K31" i="1"/>
  <c r="J31" i="1"/>
  <c r="M31" i="1" s="1"/>
  <c r="N31" i="1" s="1"/>
  <c r="O31" i="1" s="1"/>
  <c r="G31" i="1"/>
  <c r="L31" i="1" s="1"/>
  <c r="C31" i="1"/>
  <c r="N30" i="1"/>
  <c r="O30" i="1" s="1"/>
  <c r="P30" i="1" s="1"/>
  <c r="K30" i="1"/>
  <c r="J30" i="1"/>
  <c r="M30" i="1" s="1"/>
  <c r="G30" i="1"/>
  <c r="L30" i="1" s="1"/>
  <c r="C30" i="1"/>
  <c r="L29" i="1"/>
  <c r="K29" i="1"/>
  <c r="G29" i="1"/>
  <c r="J29" i="1" s="1"/>
  <c r="M29" i="1" s="1"/>
  <c r="C29" i="1"/>
  <c r="L26" i="1"/>
  <c r="K26" i="1"/>
  <c r="J26" i="1"/>
  <c r="M26" i="1" s="1"/>
  <c r="N26" i="1" s="1"/>
  <c r="O26" i="1" s="1"/>
  <c r="G26" i="1"/>
  <c r="C26" i="1"/>
  <c r="K25" i="1"/>
  <c r="J25" i="1"/>
  <c r="M25" i="1" s="1"/>
  <c r="N25" i="1" s="1"/>
  <c r="O25" i="1" s="1"/>
  <c r="G25" i="1"/>
  <c r="L25" i="1" s="1"/>
  <c r="C25" i="1"/>
  <c r="K24" i="1"/>
  <c r="G24" i="1"/>
  <c r="J24" i="1" s="1"/>
  <c r="C24" i="1"/>
  <c r="L23" i="1"/>
  <c r="K23" i="1"/>
  <c r="G23" i="1"/>
  <c r="J23" i="1" s="1"/>
  <c r="C23" i="1"/>
  <c r="L22" i="1"/>
  <c r="K22" i="1"/>
  <c r="J22" i="1"/>
  <c r="M22" i="1" s="1"/>
  <c r="N22" i="1" s="1"/>
  <c r="O22" i="1" s="1"/>
  <c r="G22" i="1"/>
  <c r="C22" i="1"/>
  <c r="K21" i="1"/>
  <c r="J21" i="1"/>
  <c r="M21" i="1" s="1"/>
  <c r="N21" i="1" s="1"/>
  <c r="O21" i="1" s="1"/>
  <c r="G21" i="1"/>
  <c r="L21" i="1" s="1"/>
  <c r="C21" i="1"/>
  <c r="K20" i="1"/>
  <c r="G20" i="1"/>
  <c r="J20" i="1" s="1"/>
  <c r="C20" i="1"/>
  <c r="L19" i="1"/>
  <c r="K19" i="1"/>
  <c r="G19" i="1"/>
  <c r="J19" i="1" s="1"/>
  <c r="C19" i="1"/>
  <c r="L18" i="1"/>
  <c r="K18" i="1"/>
  <c r="J18" i="1"/>
  <c r="G18" i="1"/>
  <c r="C18" i="1"/>
  <c r="K17" i="1"/>
  <c r="J17" i="1"/>
  <c r="M17" i="1" s="1"/>
  <c r="N17" i="1" s="1"/>
  <c r="O17" i="1" s="1"/>
  <c r="G17" i="1"/>
  <c r="L17" i="1" s="1"/>
  <c r="C17" i="1"/>
  <c r="L16" i="1"/>
  <c r="K16" i="1"/>
  <c r="J16" i="1"/>
  <c r="M16" i="1" s="1"/>
  <c r="N16" i="1" s="1"/>
  <c r="O16" i="1" s="1"/>
  <c r="G16" i="1"/>
  <c r="C16" i="1"/>
  <c r="M13" i="1"/>
  <c r="N13" i="1" s="1"/>
  <c r="O13" i="1" s="1"/>
  <c r="L13" i="1"/>
  <c r="K13" i="1"/>
  <c r="G13" i="1"/>
  <c r="J13" i="1" s="1"/>
  <c r="C13" i="1"/>
  <c r="L12" i="1"/>
  <c r="K12" i="1"/>
  <c r="J12" i="1"/>
  <c r="G12" i="1"/>
  <c r="C12" i="1"/>
  <c r="K11" i="1"/>
  <c r="J11" i="1"/>
  <c r="M11" i="1" s="1"/>
  <c r="N11" i="1" s="1"/>
  <c r="O11" i="1" s="1"/>
  <c r="G11" i="1"/>
  <c r="L11" i="1" s="1"/>
  <c r="C11" i="1"/>
  <c r="L10" i="1"/>
  <c r="K10" i="1"/>
  <c r="J10" i="1"/>
  <c r="M10" i="1" s="1"/>
  <c r="N10" i="1" s="1"/>
  <c r="O10" i="1" s="1"/>
  <c r="G10" i="1"/>
  <c r="C10" i="1"/>
  <c r="M9" i="1"/>
  <c r="N9" i="1" s="1"/>
  <c r="O9" i="1" s="1"/>
  <c r="L9" i="1"/>
  <c r="K9" i="1"/>
  <c r="G9" i="1"/>
  <c r="J9" i="1" s="1"/>
  <c r="C9" i="1"/>
  <c r="L8" i="1"/>
  <c r="K8" i="1"/>
  <c r="J8" i="1"/>
  <c r="G8" i="1"/>
  <c r="C8" i="1"/>
  <c r="K7" i="1"/>
  <c r="G7" i="1"/>
  <c r="L7" i="1" s="1"/>
  <c r="C7" i="1"/>
  <c r="L6" i="1"/>
  <c r="K6" i="1"/>
  <c r="J6" i="1"/>
  <c r="M6" i="1" s="1"/>
  <c r="N6" i="1" s="1"/>
  <c r="O6" i="1" s="1"/>
  <c r="G6" i="1"/>
  <c r="C6" i="1"/>
  <c r="L5" i="1"/>
  <c r="M5" i="1" s="1"/>
  <c r="N5" i="1" s="1"/>
  <c r="O5" i="1" s="1"/>
  <c r="K5" i="1"/>
  <c r="G5" i="1"/>
  <c r="J5" i="1" s="1"/>
  <c r="C5" i="1"/>
  <c r="L4" i="1"/>
  <c r="K4" i="1"/>
  <c r="J4" i="1"/>
  <c r="G4" i="1"/>
  <c r="C4" i="1"/>
  <c r="K3" i="1"/>
  <c r="G3" i="1"/>
  <c r="L3" i="1" s="1"/>
  <c r="C3" i="1"/>
  <c r="P16" i="1" l="1"/>
  <c r="Q16" i="1"/>
  <c r="R16" i="1" s="1"/>
  <c r="P10" i="1"/>
  <c r="Q10" i="1"/>
  <c r="R10" i="1" s="1"/>
  <c r="Q13" i="1"/>
  <c r="R13" i="1" s="1"/>
  <c r="P13" i="1"/>
  <c r="Q22" i="1"/>
  <c r="R22" i="1" s="1"/>
  <c r="P22" i="1"/>
  <c r="P25" i="1"/>
  <c r="Q25" i="1"/>
  <c r="R25" i="1" s="1"/>
  <c r="Q26" i="1"/>
  <c r="R26" i="1" s="1"/>
  <c r="P26" i="1"/>
  <c r="P21" i="1"/>
  <c r="Q21" i="1"/>
  <c r="R21" i="1" s="1"/>
  <c r="P11" i="1"/>
  <c r="Q11" i="1"/>
  <c r="R11" i="1" s="1"/>
  <c r="P34" i="1"/>
  <c r="Q34" i="1"/>
  <c r="R34" i="1" s="1"/>
  <c r="P5" i="1"/>
  <c r="Q5" i="1"/>
  <c r="R5" i="1" s="1"/>
  <c r="P17" i="1"/>
  <c r="Q17" i="1"/>
  <c r="R17" i="1" s="1"/>
  <c r="M24" i="1"/>
  <c r="N24" i="1" s="1"/>
  <c r="O24" i="1" s="1"/>
  <c r="Q9" i="1"/>
  <c r="R9" i="1" s="1"/>
  <c r="P9" i="1"/>
  <c r="Q6" i="1"/>
  <c r="R6" i="1" s="1"/>
  <c r="P6" i="1"/>
  <c r="Q31" i="1"/>
  <c r="R31" i="1" s="1"/>
  <c r="P31" i="1"/>
  <c r="Q45" i="1"/>
  <c r="R45" i="1" s="1"/>
  <c r="P45" i="1"/>
  <c r="J61" i="1"/>
  <c r="L61" i="1"/>
  <c r="M4" i="1"/>
  <c r="N4" i="1" s="1"/>
  <c r="O4" i="1" s="1"/>
  <c r="M8" i="1"/>
  <c r="N8" i="1" s="1"/>
  <c r="O8" i="1" s="1"/>
  <c r="M12" i="1"/>
  <c r="N12" i="1" s="1"/>
  <c r="O12" i="1" s="1"/>
  <c r="M18" i="1"/>
  <c r="N18" i="1" s="1"/>
  <c r="O18" i="1" s="1"/>
  <c r="M19" i="1"/>
  <c r="N19" i="1" s="1"/>
  <c r="O19" i="1" s="1"/>
  <c r="L20" i="1"/>
  <c r="M20" i="1" s="1"/>
  <c r="N20" i="1" s="1"/>
  <c r="O20" i="1" s="1"/>
  <c r="Q30" i="1"/>
  <c r="R30" i="1" s="1"/>
  <c r="J33" i="1"/>
  <c r="L33" i="1"/>
  <c r="M35" i="1"/>
  <c r="N35" i="1" s="1"/>
  <c r="O35" i="1" s="1"/>
  <c r="L38" i="1"/>
  <c r="J38" i="1"/>
  <c r="M38" i="1" s="1"/>
  <c r="N38" i="1" s="1"/>
  <c r="O38" i="1" s="1"/>
  <c r="P42" i="1"/>
  <c r="J47" i="1"/>
  <c r="M47" i="1" s="1"/>
  <c r="N47" i="1" s="1"/>
  <c r="O47" i="1" s="1"/>
  <c r="L47" i="1"/>
  <c r="Q48" i="1"/>
  <c r="R48" i="1" s="1"/>
  <c r="N49" i="1"/>
  <c r="O49" i="1" s="1"/>
  <c r="J65" i="1"/>
  <c r="M65" i="1" s="1"/>
  <c r="N65" i="1" s="1"/>
  <c r="O65" i="1" s="1"/>
  <c r="L65" i="1"/>
  <c r="Q68" i="1"/>
  <c r="R68" i="1" s="1"/>
  <c r="N69" i="1"/>
  <c r="O69" i="1" s="1"/>
  <c r="J3" i="1"/>
  <c r="M3" i="1" s="1"/>
  <c r="N3" i="1" s="1"/>
  <c r="O3" i="1" s="1"/>
  <c r="J7" i="1"/>
  <c r="M7" i="1" s="1"/>
  <c r="N7" i="1" s="1"/>
  <c r="O7" i="1" s="1"/>
  <c r="Q63" i="1"/>
  <c r="R63" i="1" s="1"/>
  <c r="P63" i="1"/>
  <c r="M23" i="1"/>
  <c r="N23" i="1" s="1"/>
  <c r="O23" i="1" s="1"/>
  <c r="L24" i="1"/>
  <c r="Q43" i="1"/>
  <c r="R43" i="1" s="1"/>
  <c r="J51" i="1"/>
  <c r="L51" i="1"/>
  <c r="Q52" i="1"/>
  <c r="R52" i="1" s="1"/>
  <c r="N55" i="1"/>
  <c r="O55" i="1" s="1"/>
  <c r="J71" i="1"/>
  <c r="L71" i="1"/>
  <c r="Q72" i="1"/>
  <c r="R72" i="1" s="1"/>
  <c r="N73" i="1"/>
  <c r="O73" i="1" s="1"/>
  <c r="N29" i="1"/>
  <c r="O29" i="1" s="1"/>
  <c r="N36" i="1"/>
  <c r="O36" i="1" s="1"/>
  <c r="Q37" i="1"/>
  <c r="R37" i="1" s="1"/>
  <c r="P37" i="1"/>
  <c r="P44" i="1"/>
  <c r="Q44" i="1"/>
  <c r="R44" i="1" s="1"/>
  <c r="J57" i="1"/>
  <c r="L57" i="1"/>
  <c r="N59" i="1"/>
  <c r="O59" i="1" s="1"/>
  <c r="J75" i="1"/>
  <c r="M75" i="1" s="1"/>
  <c r="N75" i="1" s="1"/>
  <c r="O75" i="1" s="1"/>
  <c r="L75" i="1"/>
  <c r="N77" i="1"/>
  <c r="O77" i="1" s="1"/>
  <c r="M39" i="1"/>
  <c r="N39" i="1" s="1"/>
  <c r="O39" i="1" s="1"/>
  <c r="M46" i="1"/>
  <c r="N46" i="1" s="1"/>
  <c r="O46" i="1" s="1"/>
  <c r="M50" i="1"/>
  <c r="N50" i="1" s="1"/>
  <c r="O50" i="1" s="1"/>
  <c r="M56" i="1"/>
  <c r="N56" i="1" s="1"/>
  <c r="O56" i="1" s="1"/>
  <c r="M60" i="1"/>
  <c r="N60" i="1" s="1"/>
  <c r="O60" i="1" s="1"/>
  <c r="M64" i="1"/>
  <c r="N64" i="1" s="1"/>
  <c r="O64" i="1" s="1"/>
  <c r="M70" i="1"/>
  <c r="N70" i="1" s="1"/>
  <c r="O70" i="1" s="1"/>
  <c r="M74" i="1"/>
  <c r="N74" i="1" s="1"/>
  <c r="O74" i="1" s="1"/>
  <c r="M32" i="1"/>
  <c r="N32" i="1" s="1"/>
  <c r="O32" i="1" s="1"/>
  <c r="M78" i="1"/>
  <c r="N78" i="1" s="1"/>
  <c r="O78" i="1" s="1"/>
  <c r="P20" i="1" l="1"/>
  <c r="Q20" i="1"/>
  <c r="R20" i="1" s="1"/>
  <c r="Q78" i="1"/>
  <c r="R78" i="1" s="1"/>
  <c r="P78" i="1"/>
  <c r="Q46" i="1"/>
  <c r="R46" i="1" s="1"/>
  <c r="P46" i="1"/>
  <c r="Q36" i="1"/>
  <c r="R36" i="1" s="1"/>
  <c r="P36" i="1"/>
  <c r="Q23" i="1"/>
  <c r="R23" i="1" s="1"/>
  <c r="P23" i="1"/>
  <c r="P65" i="1"/>
  <c r="Q65" i="1"/>
  <c r="R65" i="1" s="1"/>
  <c r="Q8" i="1"/>
  <c r="R8" i="1" s="1"/>
  <c r="P8" i="1"/>
  <c r="Q32" i="1"/>
  <c r="R32" i="1" s="1"/>
  <c r="P32" i="1"/>
  <c r="Q60" i="1"/>
  <c r="R60" i="1" s="1"/>
  <c r="P60" i="1"/>
  <c r="Q39" i="1"/>
  <c r="R39" i="1" s="1"/>
  <c r="P39" i="1"/>
  <c r="Q59" i="1"/>
  <c r="R59" i="1" s="1"/>
  <c r="P59" i="1"/>
  <c r="Q29" i="1"/>
  <c r="R29" i="1" s="1"/>
  <c r="P29" i="1"/>
  <c r="M71" i="1"/>
  <c r="N71" i="1" s="1"/>
  <c r="O71" i="1" s="1"/>
  <c r="M51" i="1"/>
  <c r="N51" i="1" s="1"/>
  <c r="O51" i="1" s="1"/>
  <c r="Q69" i="1"/>
  <c r="R69" i="1" s="1"/>
  <c r="P69" i="1"/>
  <c r="Q49" i="1"/>
  <c r="R49" i="1" s="1"/>
  <c r="P49" i="1"/>
  <c r="Q19" i="1"/>
  <c r="R19" i="1" s="1"/>
  <c r="P19" i="1"/>
  <c r="Q4" i="1"/>
  <c r="R4" i="1" s="1"/>
  <c r="P4" i="1"/>
  <c r="Q64" i="1"/>
  <c r="R64" i="1" s="1"/>
  <c r="P64" i="1"/>
  <c r="Q75" i="1"/>
  <c r="R75" i="1" s="1"/>
  <c r="P75" i="1"/>
  <c r="P3" i="1"/>
  <c r="Q3" i="1"/>
  <c r="R3" i="1" s="1"/>
  <c r="P47" i="1"/>
  <c r="Q47" i="1"/>
  <c r="R47" i="1" s="1"/>
  <c r="Q24" i="1"/>
  <c r="R24" i="1" s="1"/>
  <c r="P24" i="1"/>
  <c r="Q56" i="1"/>
  <c r="R56" i="1" s="1"/>
  <c r="P56" i="1"/>
  <c r="Q77" i="1"/>
  <c r="R77" i="1" s="1"/>
  <c r="P77" i="1"/>
  <c r="Q73" i="1"/>
  <c r="R73" i="1" s="1"/>
  <c r="P73" i="1"/>
  <c r="Q55" i="1"/>
  <c r="R55" i="1" s="1"/>
  <c r="P55" i="1"/>
  <c r="P38" i="1"/>
  <c r="Q38" i="1"/>
  <c r="R38" i="1" s="1"/>
  <c r="M33" i="1"/>
  <c r="N33" i="1" s="1"/>
  <c r="O33" i="1" s="1"/>
  <c r="Q18" i="1"/>
  <c r="R18" i="1" s="1"/>
  <c r="P18" i="1"/>
  <c r="Q35" i="1"/>
  <c r="R35" i="1" s="1"/>
  <c r="P35" i="1"/>
  <c r="Q74" i="1"/>
  <c r="R74" i="1" s="1"/>
  <c r="P74" i="1"/>
  <c r="Q70" i="1"/>
  <c r="R70" i="1" s="1"/>
  <c r="P70" i="1"/>
  <c r="Q50" i="1"/>
  <c r="R50" i="1" s="1"/>
  <c r="P50" i="1"/>
  <c r="M57" i="1"/>
  <c r="N57" i="1" s="1"/>
  <c r="O57" i="1" s="1"/>
  <c r="P7" i="1"/>
  <c r="Q7" i="1"/>
  <c r="R7" i="1" s="1"/>
  <c r="Q12" i="1"/>
  <c r="R12" i="1" s="1"/>
  <c r="P12" i="1"/>
  <c r="M61" i="1"/>
  <c r="N61" i="1" s="1"/>
  <c r="O61" i="1" s="1"/>
  <c r="Q61" i="1" l="1"/>
  <c r="R61" i="1" s="1"/>
  <c r="P61" i="1"/>
  <c r="Q57" i="1"/>
  <c r="R57" i="1" s="1"/>
  <c r="P57" i="1"/>
  <c r="Q51" i="1"/>
  <c r="R51" i="1" s="1"/>
  <c r="P51" i="1"/>
  <c r="Q33" i="1"/>
  <c r="R33" i="1" s="1"/>
  <c r="P33" i="1"/>
  <c r="P71" i="1"/>
  <c r="Q71" i="1"/>
  <c r="R71" i="1" s="1"/>
</calcChain>
</file>

<file path=xl/sharedStrings.xml><?xml version="1.0" encoding="utf-8"?>
<sst xmlns="http://schemas.openxmlformats.org/spreadsheetml/2006/main" count="114" uniqueCount="24">
  <si>
    <t>S.NO</t>
  </si>
  <si>
    <t>MM</t>
  </si>
  <si>
    <t>MM.2</t>
  </si>
  <si>
    <t>Wire Count</t>
  </si>
  <si>
    <t>000S</t>
  </si>
  <si>
    <t>Core</t>
  </si>
  <si>
    <t>1Coil Copp</t>
  </si>
  <si>
    <t>1Coil Pvc</t>
  </si>
  <si>
    <t>Cur Copp Rate</t>
  </si>
  <si>
    <t>1Coil Copp RS</t>
  </si>
  <si>
    <t>1Coil     Pvc RS</t>
  </si>
  <si>
    <t>1Coil Draw RS</t>
  </si>
  <si>
    <t>1Coil Dra+Copp</t>
  </si>
  <si>
    <t>1Coil Pvc+Draw+Copp RS</t>
  </si>
  <si>
    <t>4.1% Mazdoori</t>
  </si>
  <si>
    <t>4.1% Per Feet Rate</t>
  </si>
  <si>
    <t>5% Factory</t>
  </si>
  <si>
    <t>5% Per Feet Rate</t>
  </si>
  <si>
    <t>TWO CORE FLEXIBLE CABLE FIX PVC + COPPER</t>
  </si>
  <si>
    <t>TWO CORE STANDARD CABLE FIX PVC + COPPER</t>
  </si>
  <si>
    <t>THREE CORE FLEXIBLE CABLE FIX PVC + COPPER</t>
  </si>
  <si>
    <t>THREE CORE STANDARD CABLE FIX PVC + COPPER</t>
  </si>
  <si>
    <t>FOUR CORE FLEXIBLE CABLE FIX PVC + COPPER</t>
  </si>
  <si>
    <t>FOUR CORE STANDARD CABLE FIX PVC + COPPER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</si>
</sst>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_);[Red]\(0.00\)"/>
    <numFmt numFmtId="165" formatCode="0.000_);[Red]\(0.000\)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0"/>
      <name val="Microsoft YaHei"/>
      <family val="2"/>
    </font>
    <font>
      <b/>
      <sz val="8"/>
      <color theme="1"/>
      <name val="Microsoft YaHei"/>
      <family val="2"/>
    </font>
    <font>
      <b/>
      <sz val="8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wrapText="1"/>
    </xf>
    <xf numFmtId="164" fontId="5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"/>
  <sheetViews>
    <sheetView tabSelected="1" workbookViewId="0">
      <selection activeCell="W27" sqref="W27"/>
    </sheetView>
  </sheetViews>
  <sheetFormatPr defaultRowHeight="15" x14ac:dyDescent="0.25"/>
  <cols>
    <col min="1" max="2" width="4.140625" bestFit="1" customWidth="1"/>
    <col min="3" max="3" width="5.85546875" bestFit="1" customWidth="1"/>
    <col min="4" max="4" width="5.7109375" bestFit="1" customWidth="1"/>
    <col min="5" max="5" width="5" bestFit="1" customWidth="1"/>
    <col min="6" max="6" width="4.5703125" bestFit="1" customWidth="1"/>
    <col min="7" max="7" width="7.85546875" bestFit="1" customWidth="1"/>
    <col min="8" max="8" width="8" bestFit="1" customWidth="1"/>
    <col min="9" max="9" width="8.5703125" bestFit="1" customWidth="1"/>
    <col min="10" max="10" width="9.42578125" bestFit="1" customWidth="1"/>
    <col min="11" max="11" width="7.42578125" bestFit="1" customWidth="1"/>
    <col min="12" max="12" width="8.85546875" bestFit="1" customWidth="1"/>
    <col min="13" max="13" width="10.85546875" bestFit="1" customWidth="1"/>
    <col min="14" max="15" width="9.42578125" bestFit="1" customWidth="1"/>
    <col min="16" max="16" width="8.28515625" bestFit="1" customWidth="1"/>
    <col min="17" max="17" width="10.85546875" bestFit="1" customWidth="1"/>
    <col min="18" max="18" width="10.42578125" bestFit="1" customWidth="1"/>
  </cols>
  <sheetData>
    <row r="1" spans="1:18" ht="31.5" x14ac:dyDescent="0.25">
      <c r="A1" s="17" t="s">
        <v>18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40.5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4" t="s">
        <v>11</v>
      </c>
      <c r="M2" s="4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</row>
    <row r="3" spans="1:18" ht="15.75" x14ac:dyDescent="0.3">
      <c r="A3" s="11">
        <v>1</v>
      </c>
      <c r="B3" s="8">
        <v>1.5</v>
      </c>
      <c r="C3" s="6">
        <f>SUM(E3*E3*D3*507/1000000)</f>
        <v>1.1660999999999999</v>
      </c>
      <c r="D3" s="8">
        <v>23</v>
      </c>
      <c r="E3" s="8">
        <v>10</v>
      </c>
      <c r="F3" s="8">
        <v>2</v>
      </c>
      <c r="G3" s="7">
        <f>SUM(E3*E3*D3*F3*330/800000)</f>
        <v>1.8975</v>
      </c>
      <c r="H3" s="8">
        <v>8.6</v>
      </c>
      <c r="I3" s="8">
        <v>4050</v>
      </c>
      <c r="J3" s="9">
        <f t="shared" ref="J3:J13" si="0">SUM(G3*I3)</f>
        <v>7684.875</v>
      </c>
      <c r="K3" s="5">
        <f t="shared" ref="K3:K13" si="1">SUM(H3*300)</f>
        <v>2580</v>
      </c>
      <c r="L3" s="6">
        <f>SUM(G3*100)</f>
        <v>189.75</v>
      </c>
      <c r="M3" s="6">
        <f>SUM(J3+L3)</f>
        <v>7874.625</v>
      </c>
      <c r="N3" s="9">
        <f>SUM(M3+K3)</f>
        <v>10454.625</v>
      </c>
      <c r="O3" s="9">
        <f>N3+(N3*4.1%)</f>
        <v>10883.264625</v>
      </c>
      <c r="P3" s="9">
        <f>SUM(O3/300)</f>
        <v>36.277548750000001</v>
      </c>
      <c r="Q3" s="6">
        <f>O3+(O3*5%)</f>
        <v>11427.42785625</v>
      </c>
      <c r="R3" s="10">
        <f>SUM(Q3/300)</f>
        <v>38.091426187499998</v>
      </c>
    </row>
    <row r="4" spans="1:18" ht="15.75" x14ac:dyDescent="0.3">
      <c r="A4" s="11">
        <v>2</v>
      </c>
      <c r="B4" s="8">
        <v>2.5</v>
      </c>
      <c r="C4" s="6">
        <f t="shared" ref="C4:C13" si="2">SUM(E4*E4*D4*507/1000000)</f>
        <v>2.028</v>
      </c>
      <c r="D4" s="8">
        <v>40</v>
      </c>
      <c r="E4" s="8">
        <v>10</v>
      </c>
      <c r="F4" s="8">
        <v>2</v>
      </c>
      <c r="G4" s="7">
        <f t="shared" ref="G4:G13" si="3">SUM(E4*E4*D4*F4*330/800000)</f>
        <v>3.3</v>
      </c>
      <c r="H4" s="8">
        <v>11.2</v>
      </c>
      <c r="I4" s="8">
        <v>4050</v>
      </c>
      <c r="J4" s="9">
        <f t="shared" si="0"/>
        <v>13365</v>
      </c>
      <c r="K4" s="5">
        <f t="shared" si="1"/>
        <v>3360</v>
      </c>
      <c r="L4" s="6">
        <f t="shared" ref="L4:L13" si="4">SUM(G4*100)</f>
        <v>330</v>
      </c>
      <c r="M4" s="6">
        <f t="shared" ref="M4:M13" si="5">SUM(J4+L4)</f>
        <v>13695</v>
      </c>
      <c r="N4" s="9">
        <f t="shared" ref="N4:N13" si="6">SUM(M4+K4)</f>
        <v>17055</v>
      </c>
      <c r="O4" s="9">
        <f t="shared" ref="O4:O13" si="7">N4+(N4*4.1%)</f>
        <v>17754.255000000001</v>
      </c>
      <c r="P4" s="9">
        <f t="shared" ref="P4:P13" si="8">SUM(O4/300)</f>
        <v>59.180850000000007</v>
      </c>
      <c r="Q4" s="6">
        <f t="shared" ref="Q4:Q13" si="9">O4+(O4*5%)</f>
        <v>18641.96775</v>
      </c>
      <c r="R4" s="10">
        <f t="shared" ref="R4:R13" si="10">SUM(Q4/300)</f>
        <v>62.139892500000002</v>
      </c>
    </row>
    <row r="5" spans="1:18" ht="15.75" x14ac:dyDescent="0.3">
      <c r="A5" s="11">
        <v>3</v>
      </c>
      <c r="B5" s="8">
        <v>4</v>
      </c>
      <c r="C5" s="6">
        <f t="shared" si="2"/>
        <v>3.0419999999999998</v>
      </c>
      <c r="D5" s="8">
        <v>60</v>
      </c>
      <c r="E5" s="8">
        <v>10</v>
      </c>
      <c r="F5" s="8">
        <v>2</v>
      </c>
      <c r="G5" s="7">
        <f t="shared" si="3"/>
        <v>4.95</v>
      </c>
      <c r="H5" s="8">
        <v>15</v>
      </c>
      <c r="I5" s="8">
        <v>4050</v>
      </c>
      <c r="J5" s="9">
        <f t="shared" si="0"/>
        <v>20047.5</v>
      </c>
      <c r="K5" s="5">
        <f t="shared" si="1"/>
        <v>4500</v>
      </c>
      <c r="L5" s="6">
        <f t="shared" si="4"/>
        <v>495</v>
      </c>
      <c r="M5" s="6">
        <f t="shared" si="5"/>
        <v>20542.5</v>
      </c>
      <c r="N5" s="9">
        <f t="shared" si="6"/>
        <v>25042.5</v>
      </c>
      <c r="O5" s="9">
        <f t="shared" si="7"/>
        <v>26069.2425</v>
      </c>
      <c r="P5" s="9">
        <f t="shared" si="8"/>
        <v>86.897475</v>
      </c>
      <c r="Q5" s="6">
        <f t="shared" si="9"/>
        <v>27372.704624999998</v>
      </c>
      <c r="R5" s="10">
        <f t="shared" si="10"/>
        <v>91.242348749999991</v>
      </c>
    </row>
    <row r="6" spans="1:18" ht="15.75" x14ac:dyDescent="0.3">
      <c r="A6" s="11">
        <v>4</v>
      </c>
      <c r="B6" s="8">
        <v>6</v>
      </c>
      <c r="C6" s="6">
        <f t="shared" si="2"/>
        <v>5.07</v>
      </c>
      <c r="D6" s="8">
        <v>100</v>
      </c>
      <c r="E6" s="8">
        <v>10</v>
      </c>
      <c r="F6" s="8">
        <v>2</v>
      </c>
      <c r="G6" s="7">
        <f t="shared" si="3"/>
        <v>8.25</v>
      </c>
      <c r="H6" s="8">
        <v>17</v>
      </c>
      <c r="I6" s="8">
        <v>4050</v>
      </c>
      <c r="J6" s="9">
        <f t="shared" si="0"/>
        <v>33412.5</v>
      </c>
      <c r="K6" s="5">
        <f t="shared" si="1"/>
        <v>5100</v>
      </c>
      <c r="L6" s="6">
        <f t="shared" si="4"/>
        <v>825</v>
      </c>
      <c r="M6" s="6">
        <f t="shared" si="5"/>
        <v>34237.5</v>
      </c>
      <c r="N6" s="9">
        <f t="shared" si="6"/>
        <v>39337.5</v>
      </c>
      <c r="O6" s="9">
        <f t="shared" si="7"/>
        <v>40950.337500000001</v>
      </c>
      <c r="P6" s="9">
        <f t="shared" si="8"/>
        <v>136.501125</v>
      </c>
      <c r="Q6" s="6">
        <f t="shared" si="9"/>
        <v>42997.854375000003</v>
      </c>
      <c r="R6" s="10">
        <f t="shared" si="10"/>
        <v>143.32618125000002</v>
      </c>
    </row>
    <row r="7" spans="1:18" ht="15.75" x14ac:dyDescent="0.3">
      <c r="A7" s="11">
        <v>5</v>
      </c>
      <c r="B7" s="10">
        <v>10</v>
      </c>
      <c r="C7" s="6">
        <f t="shared" si="2"/>
        <v>9.1259999999999994</v>
      </c>
      <c r="D7" s="10">
        <v>180</v>
      </c>
      <c r="E7" s="10">
        <v>10</v>
      </c>
      <c r="F7" s="8">
        <v>2</v>
      </c>
      <c r="G7" s="7">
        <f t="shared" si="3"/>
        <v>14.85</v>
      </c>
      <c r="H7" s="10">
        <v>21.7</v>
      </c>
      <c r="I7" s="8">
        <v>4050</v>
      </c>
      <c r="J7" s="9">
        <f t="shared" si="0"/>
        <v>60142.5</v>
      </c>
      <c r="K7" s="5">
        <f t="shared" si="1"/>
        <v>6510</v>
      </c>
      <c r="L7" s="6">
        <f t="shared" si="4"/>
        <v>1485</v>
      </c>
      <c r="M7" s="6">
        <f t="shared" si="5"/>
        <v>61627.5</v>
      </c>
      <c r="N7" s="9">
        <f t="shared" si="6"/>
        <v>68137.5</v>
      </c>
      <c r="O7" s="9">
        <f t="shared" si="7"/>
        <v>70931.137499999997</v>
      </c>
      <c r="P7" s="9">
        <f t="shared" si="8"/>
        <v>236.43712499999998</v>
      </c>
      <c r="Q7" s="6">
        <f t="shared" si="9"/>
        <v>74477.694374999992</v>
      </c>
      <c r="R7" s="10">
        <f t="shared" si="10"/>
        <v>248.25898124999998</v>
      </c>
    </row>
    <row r="8" spans="1:18" ht="15.75" x14ac:dyDescent="0.3">
      <c r="A8" s="11">
        <v>6</v>
      </c>
      <c r="B8" s="10">
        <v>16</v>
      </c>
      <c r="C8" s="6">
        <f t="shared" si="2"/>
        <v>14.196</v>
      </c>
      <c r="D8" s="10">
        <v>280</v>
      </c>
      <c r="E8" s="10">
        <v>10</v>
      </c>
      <c r="F8" s="8">
        <v>2</v>
      </c>
      <c r="G8" s="7">
        <f t="shared" si="3"/>
        <v>23.1</v>
      </c>
      <c r="H8" s="10"/>
      <c r="I8" s="8">
        <v>4050</v>
      </c>
      <c r="J8" s="9">
        <f t="shared" si="0"/>
        <v>93555</v>
      </c>
      <c r="K8" s="5">
        <f t="shared" si="1"/>
        <v>0</v>
      </c>
      <c r="L8" s="6">
        <f t="shared" si="4"/>
        <v>2310</v>
      </c>
      <c r="M8" s="6">
        <f t="shared" si="5"/>
        <v>95865</v>
      </c>
      <c r="N8" s="9">
        <f t="shared" si="6"/>
        <v>95865</v>
      </c>
      <c r="O8" s="9">
        <f t="shared" si="7"/>
        <v>99795.464999999997</v>
      </c>
      <c r="P8" s="9">
        <f t="shared" si="8"/>
        <v>332.65154999999999</v>
      </c>
      <c r="Q8" s="6">
        <f t="shared" si="9"/>
        <v>104785.23824999999</v>
      </c>
      <c r="R8" s="10">
        <f t="shared" si="10"/>
        <v>349.28412750000001</v>
      </c>
    </row>
    <row r="9" spans="1:18" ht="15.75" x14ac:dyDescent="0.3">
      <c r="A9" s="11">
        <v>7</v>
      </c>
      <c r="B9" s="10">
        <v>25</v>
      </c>
      <c r="C9" s="6">
        <f t="shared" si="2"/>
        <v>19.874400000000001</v>
      </c>
      <c r="D9" s="10">
        <v>200</v>
      </c>
      <c r="E9" s="10">
        <v>14</v>
      </c>
      <c r="F9" s="8">
        <v>2</v>
      </c>
      <c r="G9" s="7">
        <f t="shared" si="3"/>
        <v>32.340000000000003</v>
      </c>
      <c r="H9" s="10"/>
      <c r="I9" s="8">
        <v>4050</v>
      </c>
      <c r="J9" s="9">
        <f t="shared" si="0"/>
        <v>130977.00000000001</v>
      </c>
      <c r="K9" s="5">
        <f t="shared" si="1"/>
        <v>0</v>
      </c>
      <c r="L9" s="6">
        <f t="shared" si="4"/>
        <v>3234.0000000000005</v>
      </c>
      <c r="M9" s="6">
        <f t="shared" si="5"/>
        <v>134211.00000000003</v>
      </c>
      <c r="N9" s="9">
        <f t="shared" si="6"/>
        <v>134211.00000000003</v>
      </c>
      <c r="O9" s="9">
        <f t="shared" si="7"/>
        <v>139713.65100000004</v>
      </c>
      <c r="P9" s="9">
        <f t="shared" si="8"/>
        <v>465.71217000000013</v>
      </c>
      <c r="Q9" s="6">
        <f t="shared" si="9"/>
        <v>146699.33355000004</v>
      </c>
      <c r="R9" s="10">
        <f t="shared" si="10"/>
        <v>488.99777850000015</v>
      </c>
    </row>
    <row r="10" spans="1:18" ht="15.75" x14ac:dyDescent="0.3">
      <c r="A10" s="11">
        <v>8</v>
      </c>
      <c r="B10" s="10">
        <v>35</v>
      </c>
      <c r="C10" s="6">
        <f t="shared" si="2"/>
        <v>29.811599999999999</v>
      </c>
      <c r="D10" s="10">
        <v>300</v>
      </c>
      <c r="E10" s="10">
        <v>14</v>
      </c>
      <c r="F10" s="8">
        <v>2</v>
      </c>
      <c r="G10" s="7">
        <f t="shared" si="3"/>
        <v>48.51</v>
      </c>
      <c r="H10" s="10"/>
      <c r="I10" s="8">
        <v>4050</v>
      </c>
      <c r="J10" s="9">
        <f t="shared" si="0"/>
        <v>196465.5</v>
      </c>
      <c r="K10" s="5">
        <f t="shared" si="1"/>
        <v>0</v>
      </c>
      <c r="L10" s="6">
        <f t="shared" si="4"/>
        <v>4851</v>
      </c>
      <c r="M10" s="6">
        <f t="shared" si="5"/>
        <v>201316.5</v>
      </c>
      <c r="N10" s="9">
        <f t="shared" si="6"/>
        <v>201316.5</v>
      </c>
      <c r="O10" s="9">
        <f t="shared" si="7"/>
        <v>209570.47649999999</v>
      </c>
      <c r="P10" s="9">
        <f t="shared" si="8"/>
        <v>698.56825500000002</v>
      </c>
      <c r="Q10" s="6">
        <f t="shared" si="9"/>
        <v>220049.000325</v>
      </c>
      <c r="R10" s="10">
        <f t="shared" si="10"/>
        <v>733.49666775000003</v>
      </c>
    </row>
    <row r="11" spans="1:18" ht="15.75" x14ac:dyDescent="0.3">
      <c r="A11" s="11">
        <v>9</v>
      </c>
      <c r="B11" s="10">
        <v>50</v>
      </c>
      <c r="C11" s="6">
        <f t="shared" si="2"/>
        <v>39.748800000000003</v>
      </c>
      <c r="D11" s="10">
        <v>400</v>
      </c>
      <c r="E11" s="10">
        <v>14</v>
      </c>
      <c r="F11" s="8">
        <v>2</v>
      </c>
      <c r="G11" s="7">
        <f t="shared" si="3"/>
        <v>64.680000000000007</v>
      </c>
      <c r="H11" s="10"/>
      <c r="I11" s="8">
        <v>4050</v>
      </c>
      <c r="J11" s="9">
        <f t="shared" si="0"/>
        <v>261954.00000000003</v>
      </c>
      <c r="K11" s="5">
        <f t="shared" si="1"/>
        <v>0</v>
      </c>
      <c r="L11" s="6">
        <f t="shared" si="4"/>
        <v>6468.0000000000009</v>
      </c>
      <c r="M11" s="6">
        <f t="shared" si="5"/>
        <v>268422.00000000006</v>
      </c>
      <c r="N11" s="9">
        <f t="shared" si="6"/>
        <v>268422.00000000006</v>
      </c>
      <c r="O11" s="9">
        <f t="shared" si="7"/>
        <v>279427.30200000008</v>
      </c>
      <c r="P11" s="9">
        <f t="shared" si="8"/>
        <v>931.42434000000026</v>
      </c>
      <c r="Q11" s="6">
        <f t="shared" si="9"/>
        <v>293398.66710000008</v>
      </c>
      <c r="R11" s="10">
        <f t="shared" si="10"/>
        <v>977.9955570000003</v>
      </c>
    </row>
    <row r="12" spans="1:18" ht="15.75" x14ac:dyDescent="0.3">
      <c r="A12" s="11">
        <v>10</v>
      </c>
      <c r="B12" s="10">
        <v>70</v>
      </c>
      <c r="C12" s="6">
        <f t="shared" si="2"/>
        <v>59.623199999999997</v>
      </c>
      <c r="D12" s="10">
        <v>600</v>
      </c>
      <c r="E12" s="10">
        <v>14</v>
      </c>
      <c r="F12" s="8">
        <v>2</v>
      </c>
      <c r="G12" s="7">
        <f t="shared" si="3"/>
        <v>97.02</v>
      </c>
      <c r="H12" s="10"/>
      <c r="I12" s="8">
        <v>4050</v>
      </c>
      <c r="J12" s="9">
        <f t="shared" si="0"/>
        <v>392931</v>
      </c>
      <c r="K12" s="5">
        <f t="shared" si="1"/>
        <v>0</v>
      </c>
      <c r="L12" s="6">
        <f t="shared" si="4"/>
        <v>9702</v>
      </c>
      <c r="M12" s="6">
        <f t="shared" si="5"/>
        <v>402633</v>
      </c>
      <c r="N12" s="9">
        <f t="shared" si="6"/>
        <v>402633</v>
      </c>
      <c r="O12" s="9">
        <f t="shared" si="7"/>
        <v>419140.95299999998</v>
      </c>
      <c r="P12" s="9">
        <f t="shared" si="8"/>
        <v>1397.13651</v>
      </c>
      <c r="Q12" s="6">
        <f t="shared" si="9"/>
        <v>440098.00065</v>
      </c>
      <c r="R12" s="10">
        <f t="shared" si="10"/>
        <v>1466.9933355000001</v>
      </c>
    </row>
    <row r="13" spans="1:18" ht="15.75" x14ac:dyDescent="0.3">
      <c r="A13" s="11">
        <v>11</v>
      </c>
      <c r="B13" s="10">
        <v>95</v>
      </c>
      <c r="C13" s="6">
        <f t="shared" si="2"/>
        <v>79.497600000000006</v>
      </c>
      <c r="D13" s="10">
        <v>800</v>
      </c>
      <c r="E13" s="10">
        <v>14</v>
      </c>
      <c r="F13" s="8">
        <v>2</v>
      </c>
      <c r="G13" s="7">
        <f t="shared" si="3"/>
        <v>129.36000000000001</v>
      </c>
      <c r="H13" s="10"/>
      <c r="I13" s="8">
        <v>4050</v>
      </c>
      <c r="J13" s="9">
        <f t="shared" si="0"/>
        <v>523908.00000000006</v>
      </c>
      <c r="K13" s="5">
        <f t="shared" si="1"/>
        <v>0</v>
      </c>
      <c r="L13" s="6">
        <f t="shared" si="4"/>
        <v>12936.000000000002</v>
      </c>
      <c r="M13" s="6">
        <f t="shared" si="5"/>
        <v>536844.00000000012</v>
      </c>
      <c r="N13" s="9">
        <f t="shared" si="6"/>
        <v>536844.00000000012</v>
      </c>
      <c r="O13" s="9">
        <f t="shared" si="7"/>
        <v>558854.60400000017</v>
      </c>
      <c r="P13" s="9">
        <f t="shared" si="8"/>
        <v>1862.8486800000005</v>
      </c>
      <c r="Q13" s="6">
        <f t="shared" si="9"/>
        <v>586797.33420000016</v>
      </c>
      <c r="R13" s="10">
        <f t="shared" si="10"/>
        <v>1955.9911140000006</v>
      </c>
    </row>
    <row r="14" spans="1:18" ht="31.5" x14ac:dyDescent="0.5">
      <c r="A14" s="12" t="s">
        <v>19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8" ht="40.5" x14ac:dyDescent="0.3">
      <c r="A15" s="1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3" t="s">
        <v>6</v>
      </c>
      <c r="H15" s="2" t="s">
        <v>7</v>
      </c>
      <c r="I15" s="2" t="s">
        <v>8</v>
      </c>
      <c r="J15" s="2" t="s">
        <v>9</v>
      </c>
      <c r="K15" s="2" t="s">
        <v>10</v>
      </c>
      <c r="L15" s="4" t="s">
        <v>11</v>
      </c>
      <c r="M15" s="4" t="s">
        <v>12</v>
      </c>
      <c r="N15" s="2" t="s">
        <v>13</v>
      </c>
      <c r="O15" s="2" t="s">
        <v>14</v>
      </c>
      <c r="P15" s="2" t="s">
        <v>15</v>
      </c>
      <c r="Q15" s="2" t="s">
        <v>16</v>
      </c>
      <c r="R15" s="2" t="s">
        <v>17</v>
      </c>
    </row>
    <row r="16" spans="1:18" x14ac:dyDescent="0.25">
      <c r="A16" s="11">
        <v>1</v>
      </c>
      <c r="B16" s="8">
        <v>1.5</v>
      </c>
      <c r="C16" s="13">
        <f>SUM(E16*E16*D16*507/1000000)</f>
        <v>0.95062500000000005</v>
      </c>
      <c r="D16" s="10">
        <v>3</v>
      </c>
      <c r="E16" s="10">
        <v>25</v>
      </c>
      <c r="F16" s="10">
        <v>2</v>
      </c>
      <c r="G16" s="13">
        <f>SUM(E16*E16*D16*F16*330/800000)</f>
        <v>1.546875</v>
      </c>
      <c r="H16" s="14">
        <v>8.6</v>
      </c>
      <c r="I16" s="15">
        <v>4050</v>
      </c>
      <c r="J16" s="13">
        <f t="shared" ref="J16:J26" si="11">SUM(G16*I16)</f>
        <v>6264.84375</v>
      </c>
      <c r="K16" s="16">
        <f t="shared" ref="K16:K26" si="12">SUM(H16*300)</f>
        <v>2580</v>
      </c>
      <c r="L16" s="13">
        <f>SUM(G16*50)</f>
        <v>77.34375</v>
      </c>
      <c r="M16" s="13">
        <f>SUM(J16+L16)</f>
        <v>6342.1875</v>
      </c>
      <c r="N16" s="13">
        <f>SUM(M16+K16)</f>
        <v>8922.1875</v>
      </c>
      <c r="O16" s="13">
        <f>N16+(N16*4.1%)</f>
        <v>9287.9971874999992</v>
      </c>
      <c r="P16" s="13">
        <f>SUM(O16/300)</f>
        <v>30.959990624999996</v>
      </c>
      <c r="Q16" s="13">
        <f>O16+(O16*5%)</f>
        <v>9752.3970468749994</v>
      </c>
      <c r="R16" s="10">
        <f>SUM(Q16/300)</f>
        <v>32.507990156249996</v>
      </c>
    </row>
    <row r="17" spans="1:18" x14ac:dyDescent="0.25">
      <c r="A17" s="11">
        <v>2</v>
      </c>
      <c r="B17" s="8">
        <v>2.5</v>
      </c>
      <c r="C17" s="13">
        <f t="shared" ref="C17:C26" si="13">SUM(E17*E17*D17*507/1000000)</f>
        <v>2.2181250000000001</v>
      </c>
      <c r="D17" s="10">
        <v>7</v>
      </c>
      <c r="E17" s="10">
        <v>25</v>
      </c>
      <c r="F17" s="10">
        <v>2</v>
      </c>
      <c r="G17" s="13">
        <f t="shared" ref="G17:G26" si="14">SUM(E17*E17*D17*F17*330/800000)</f>
        <v>3.609375</v>
      </c>
      <c r="H17" s="14">
        <v>11.2</v>
      </c>
      <c r="I17" s="15">
        <v>4050</v>
      </c>
      <c r="J17" s="13">
        <f t="shared" si="11"/>
        <v>14617.96875</v>
      </c>
      <c r="K17" s="16">
        <f t="shared" si="12"/>
        <v>3360</v>
      </c>
      <c r="L17" s="13">
        <f t="shared" ref="L17:L26" si="15">SUM(G17*50)</f>
        <v>180.46875</v>
      </c>
      <c r="M17" s="13">
        <f t="shared" ref="M17:M26" si="16">SUM(J17+L17)</f>
        <v>14798.4375</v>
      </c>
      <c r="N17" s="13">
        <f t="shared" ref="N17:N26" si="17">SUM(M17+K17)</f>
        <v>18158.4375</v>
      </c>
      <c r="O17" s="13">
        <f t="shared" ref="O17:O26" si="18">N17+(N17*4.1%)</f>
        <v>18902.9334375</v>
      </c>
      <c r="P17" s="13">
        <f t="shared" ref="P17:P26" si="19">SUM(O17/300)</f>
        <v>63.009778124999997</v>
      </c>
      <c r="Q17" s="13">
        <f t="shared" ref="Q17:Q26" si="20">O17+(O17*5%)</f>
        <v>19848.080109375001</v>
      </c>
      <c r="R17" s="10">
        <f t="shared" ref="R17:R26" si="21">SUM(Q17/300)</f>
        <v>66.160267031250001</v>
      </c>
    </row>
    <row r="18" spans="1:18" x14ac:dyDescent="0.25">
      <c r="A18" s="11">
        <v>3</v>
      </c>
      <c r="B18" s="8">
        <v>4</v>
      </c>
      <c r="C18" s="13">
        <f t="shared" si="13"/>
        <v>3.1941000000000002</v>
      </c>
      <c r="D18" s="10">
        <v>7</v>
      </c>
      <c r="E18" s="10">
        <v>30</v>
      </c>
      <c r="F18" s="10">
        <v>2</v>
      </c>
      <c r="G18" s="13">
        <f t="shared" si="14"/>
        <v>5.1974999999999998</v>
      </c>
      <c r="H18" s="14">
        <v>15</v>
      </c>
      <c r="I18" s="15">
        <v>4050</v>
      </c>
      <c r="J18" s="13">
        <f t="shared" si="11"/>
        <v>21049.875</v>
      </c>
      <c r="K18" s="16">
        <f t="shared" si="12"/>
        <v>4500</v>
      </c>
      <c r="L18" s="13">
        <f t="shared" si="15"/>
        <v>259.875</v>
      </c>
      <c r="M18" s="13">
        <f t="shared" si="16"/>
        <v>21309.75</v>
      </c>
      <c r="N18" s="13">
        <f t="shared" si="17"/>
        <v>25809.75</v>
      </c>
      <c r="O18" s="13">
        <f t="shared" si="18"/>
        <v>26867.94975</v>
      </c>
      <c r="P18" s="13">
        <f t="shared" si="19"/>
        <v>89.559832499999999</v>
      </c>
      <c r="Q18" s="13">
        <f t="shared" si="20"/>
        <v>28211.347237499998</v>
      </c>
      <c r="R18" s="10">
        <f t="shared" si="21"/>
        <v>94.037824125</v>
      </c>
    </row>
    <row r="19" spans="1:18" x14ac:dyDescent="0.25">
      <c r="A19" s="11">
        <v>4</v>
      </c>
      <c r="B19" s="8">
        <v>6</v>
      </c>
      <c r="C19" s="13">
        <f t="shared" si="13"/>
        <v>5.1247559999999996</v>
      </c>
      <c r="D19" s="10">
        <v>7</v>
      </c>
      <c r="E19" s="10">
        <v>38</v>
      </c>
      <c r="F19" s="10">
        <v>2</v>
      </c>
      <c r="G19" s="13">
        <f t="shared" si="14"/>
        <v>8.3391000000000002</v>
      </c>
      <c r="H19" s="14">
        <v>17</v>
      </c>
      <c r="I19" s="15">
        <v>4050</v>
      </c>
      <c r="J19" s="13">
        <f t="shared" si="11"/>
        <v>33773.355000000003</v>
      </c>
      <c r="K19" s="16">
        <f t="shared" si="12"/>
        <v>5100</v>
      </c>
      <c r="L19" s="13">
        <f t="shared" si="15"/>
        <v>416.95499999999998</v>
      </c>
      <c r="M19" s="13">
        <f t="shared" si="16"/>
        <v>34190.310000000005</v>
      </c>
      <c r="N19" s="13">
        <f t="shared" si="17"/>
        <v>39290.310000000005</v>
      </c>
      <c r="O19" s="13">
        <f t="shared" si="18"/>
        <v>40901.212710000007</v>
      </c>
      <c r="P19" s="13">
        <f t="shared" si="19"/>
        <v>136.33737570000002</v>
      </c>
      <c r="Q19" s="13">
        <f t="shared" si="20"/>
        <v>42946.273345500005</v>
      </c>
      <c r="R19" s="10">
        <f t="shared" si="21"/>
        <v>143.15424448500002</v>
      </c>
    </row>
    <row r="20" spans="1:18" x14ac:dyDescent="0.25">
      <c r="A20" s="11">
        <v>5</v>
      </c>
      <c r="B20" s="10">
        <v>10</v>
      </c>
      <c r="C20" s="13">
        <f t="shared" si="13"/>
        <v>7.509684</v>
      </c>
      <c r="D20" s="10">
        <v>7</v>
      </c>
      <c r="E20" s="10">
        <v>46</v>
      </c>
      <c r="F20" s="10">
        <v>2</v>
      </c>
      <c r="G20" s="13">
        <f t="shared" si="14"/>
        <v>12.219900000000001</v>
      </c>
      <c r="H20" s="10">
        <v>21.7</v>
      </c>
      <c r="I20" s="15">
        <v>4050</v>
      </c>
      <c r="J20" s="13">
        <f t="shared" si="11"/>
        <v>49490.595000000001</v>
      </c>
      <c r="K20" s="16">
        <f t="shared" si="12"/>
        <v>6510</v>
      </c>
      <c r="L20" s="13">
        <f t="shared" si="15"/>
        <v>610.995</v>
      </c>
      <c r="M20" s="13">
        <f t="shared" si="16"/>
        <v>50101.590000000004</v>
      </c>
      <c r="N20" s="13">
        <f t="shared" si="17"/>
        <v>56611.590000000004</v>
      </c>
      <c r="O20" s="13">
        <f t="shared" si="18"/>
        <v>58932.665190000007</v>
      </c>
      <c r="P20" s="13">
        <f t="shared" si="19"/>
        <v>196.44221730000001</v>
      </c>
      <c r="Q20" s="13">
        <f t="shared" si="20"/>
        <v>61879.298449500006</v>
      </c>
      <c r="R20" s="10">
        <f t="shared" si="21"/>
        <v>206.26432816500002</v>
      </c>
    </row>
    <row r="21" spans="1:18" x14ac:dyDescent="0.25">
      <c r="A21" s="11">
        <v>6</v>
      </c>
      <c r="B21" s="10">
        <v>16</v>
      </c>
      <c r="C21" s="13">
        <f t="shared" si="13"/>
        <v>12.776400000000001</v>
      </c>
      <c r="D21" s="10">
        <v>7</v>
      </c>
      <c r="E21" s="10">
        <v>60</v>
      </c>
      <c r="F21" s="10">
        <v>2</v>
      </c>
      <c r="G21" s="13">
        <f t="shared" si="14"/>
        <v>20.79</v>
      </c>
      <c r="H21" s="10"/>
      <c r="I21" s="15">
        <v>4050</v>
      </c>
      <c r="J21" s="13">
        <f t="shared" si="11"/>
        <v>84199.5</v>
      </c>
      <c r="K21" s="16">
        <f t="shared" si="12"/>
        <v>0</v>
      </c>
      <c r="L21" s="13">
        <f t="shared" si="15"/>
        <v>1039.5</v>
      </c>
      <c r="M21" s="13">
        <f t="shared" si="16"/>
        <v>85239</v>
      </c>
      <c r="N21" s="13">
        <f t="shared" si="17"/>
        <v>85239</v>
      </c>
      <c r="O21" s="13">
        <f t="shared" si="18"/>
        <v>88733.798999999999</v>
      </c>
      <c r="P21" s="13">
        <f t="shared" si="19"/>
        <v>295.77933000000002</v>
      </c>
      <c r="Q21" s="13">
        <f t="shared" si="20"/>
        <v>93170.488949999999</v>
      </c>
      <c r="R21" s="10">
        <f t="shared" si="21"/>
        <v>310.56829649999997</v>
      </c>
    </row>
    <row r="22" spans="1:18" x14ac:dyDescent="0.25">
      <c r="A22" s="11">
        <v>7</v>
      </c>
      <c r="B22" s="10">
        <v>25</v>
      </c>
      <c r="C22" s="13">
        <f t="shared" si="13"/>
        <v>24.0825</v>
      </c>
      <c r="D22" s="10">
        <v>19</v>
      </c>
      <c r="E22" s="10">
        <v>50</v>
      </c>
      <c r="F22" s="10">
        <v>2</v>
      </c>
      <c r="G22" s="13">
        <f t="shared" si="14"/>
        <v>39.1875</v>
      </c>
      <c r="H22" s="10"/>
      <c r="I22" s="15">
        <v>4050</v>
      </c>
      <c r="J22" s="13">
        <f t="shared" si="11"/>
        <v>158709.375</v>
      </c>
      <c r="K22" s="16">
        <f t="shared" si="12"/>
        <v>0</v>
      </c>
      <c r="L22" s="13">
        <f t="shared" si="15"/>
        <v>1959.375</v>
      </c>
      <c r="M22" s="13">
        <f t="shared" si="16"/>
        <v>160668.75</v>
      </c>
      <c r="N22" s="13">
        <f t="shared" si="17"/>
        <v>160668.75</v>
      </c>
      <c r="O22" s="13">
        <f t="shared" si="18"/>
        <v>167256.16875000001</v>
      </c>
      <c r="P22" s="13">
        <f t="shared" si="19"/>
        <v>557.52056249999998</v>
      </c>
      <c r="Q22" s="13">
        <f t="shared" si="20"/>
        <v>175618.97718750002</v>
      </c>
      <c r="R22" s="10">
        <f t="shared" si="21"/>
        <v>585.39659062500004</v>
      </c>
    </row>
    <row r="23" spans="1:18" x14ac:dyDescent="0.25">
      <c r="A23" s="11">
        <v>8</v>
      </c>
      <c r="B23" s="10">
        <v>35</v>
      </c>
      <c r="C23" s="13">
        <f t="shared" si="13"/>
        <v>32.405411999999998</v>
      </c>
      <c r="D23" s="10">
        <v>19</v>
      </c>
      <c r="E23" s="10">
        <v>58</v>
      </c>
      <c r="F23" s="10">
        <v>2</v>
      </c>
      <c r="G23" s="13">
        <f t="shared" si="14"/>
        <v>52.730699999999999</v>
      </c>
      <c r="H23" s="10"/>
      <c r="I23" s="15">
        <v>4050</v>
      </c>
      <c r="J23" s="13">
        <f t="shared" si="11"/>
        <v>213559.33499999999</v>
      </c>
      <c r="K23" s="16">
        <f t="shared" si="12"/>
        <v>0</v>
      </c>
      <c r="L23" s="13">
        <f t="shared" si="15"/>
        <v>2636.5349999999999</v>
      </c>
      <c r="M23" s="13">
        <f t="shared" si="16"/>
        <v>216195.87</v>
      </c>
      <c r="N23" s="13">
        <f t="shared" si="17"/>
        <v>216195.87</v>
      </c>
      <c r="O23" s="13">
        <f t="shared" si="18"/>
        <v>225059.90067</v>
      </c>
      <c r="P23" s="13">
        <f t="shared" si="19"/>
        <v>750.19966890000001</v>
      </c>
      <c r="Q23" s="13">
        <f t="shared" si="20"/>
        <v>236312.89570349999</v>
      </c>
      <c r="R23" s="10">
        <f t="shared" si="21"/>
        <v>787.70965234499999</v>
      </c>
    </row>
    <row r="24" spans="1:18" x14ac:dyDescent="0.25">
      <c r="A24" s="11">
        <v>9</v>
      </c>
      <c r="B24" s="10">
        <v>50</v>
      </c>
      <c r="C24" s="13">
        <f t="shared" si="13"/>
        <v>44.542991999999998</v>
      </c>
      <c r="D24" s="10">
        <v>19</v>
      </c>
      <c r="E24" s="10">
        <v>68</v>
      </c>
      <c r="F24" s="10">
        <v>2</v>
      </c>
      <c r="G24" s="13">
        <f t="shared" si="14"/>
        <v>72.481200000000001</v>
      </c>
      <c r="H24" s="10"/>
      <c r="I24" s="15">
        <v>4050</v>
      </c>
      <c r="J24" s="13">
        <f t="shared" si="11"/>
        <v>293548.86</v>
      </c>
      <c r="K24" s="16">
        <f t="shared" si="12"/>
        <v>0</v>
      </c>
      <c r="L24" s="13">
        <f t="shared" si="15"/>
        <v>3624.06</v>
      </c>
      <c r="M24" s="13">
        <f t="shared" si="16"/>
        <v>297172.92</v>
      </c>
      <c r="N24" s="13">
        <f t="shared" si="17"/>
        <v>297172.92</v>
      </c>
      <c r="O24" s="13">
        <f t="shared" si="18"/>
        <v>309357.00971999997</v>
      </c>
      <c r="P24" s="13">
        <f t="shared" si="19"/>
        <v>1031.1900323999998</v>
      </c>
      <c r="Q24" s="13">
        <f t="shared" si="20"/>
        <v>324824.86020599998</v>
      </c>
      <c r="R24" s="10">
        <f t="shared" si="21"/>
        <v>1082.7495340200001</v>
      </c>
    </row>
    <row r="25" spans="1:18" x14ac:dyDescent="0.25">
      <c r="A25" s="11">
        <v>10</v>
      </c>
      <c r="B25" s="10">
        <v>70</v>
      </c>
      <c r="C25" s="13">
        <f t="shared" si="13"/>
        <v>58.406399999999998</v>
      </c>
      <c r="D25" s="10">
        <v>18</v>
      </c>
      <c r="E25" s="10">
        <v>80</v>
      </c>
      <c r="F25" s="10">
        <v>2</v>
      </c>
      <c r="G25" s="13">
        <f t="shared" si="14"/>
        <v>95.04</v>
      </c>
      <c r="H25" s="10"/>
      <c r="I25" s="15">
        <v>4050</v>
      </c>
      <c r="J25" s="13">
        <f t="shared" si="11"/>
        <v>384912</v>
      </c>
      <c r="K25" s="16">
        <f t="shared" si="12"/>
        <v>0</v>
      </c>
      <c r="L25" s="13">
        <f t="shared" si="15"/>
        <v>4752</v>
      </c>
      <c r="M25" s="13">
        <f t="shared" si="16"/>
        <v>389664</v>
      </c>
      <c r="N25" s="13">
        <f t="shared" si="17"/>
        <v>389664</v>
      </c>
      <c r="O25" s="13">
        <f t="shared" si="18"/>
        <v>405640.22399999999</v>
      </c>
      <c r="P25" s="13">
        <f t="shared" si="19"/>
        <v>1352.13408</v>
      </c>
      <c r="Q25" s="13">
        <f t="shared" si="20"/>
        <v>425922.2352</v>
      </c>
      <c r="R25" s="10">
        <f t="shared" si="21"/>
        <v>1419.7407840000001</v>
      </c>
    </row>
    <row r="26" spans="1:18" x14ac:dyDescent="0.25">
      <c r="A26" s="11">
        <v>11</v>
      </c>
      <c r="B26" s="10">
        <v>95</v>
      </c>
      <c r="C26" s="13">
        <f t="shared" si="13"/>
        <v>86.741615999999993</v>
      </c>
      <c r="D26" s="10">
        <v>37</v>
      </c>
      <c r="E26" s="10">
        <v>68</v>
      </c>
      <c r="F26" s="10">
        <v>2</v>
      </c>
      <c r="G26" s="13">
        <f t="shared" si="14"/>
        <v>141.14760000000001</v>
      </c>
      <c r="H26" s="10"/>
      <c r="I26" s="15">
        <v>4050</v>
      </c>
      <c r="J26" s="13">
        <f t="shared" si="11"/>
        <v>571647.78</v>
      </c>
      <c r="K26" s="16">
        <f t="shared" si="12"/>
        <v>0</v>
      </c>
      <c r="L26" s="13">
        <f t="shared" si="15"/>
        <v>7057.380000000001</v>
      </c>
      <c r="M26" s="13">
        <f t="shared" si="16"/>
        <v>578705.16</v>
      </c>
      <c r="N26" s="13">
        <f t="shared" si="17"/>
        <v>578705.16</v>
      </c>
      <c r="O26" s="13">
        <f t="shared" si="18"/>
        <v>602432.07156000007</v>
      </c>
      <c r="P26" s="13">
        <f t="shared" si="19"/>
        <v>2008.1069052000003</v>
      </c>
      <c r="Q26" s="13">
        <f t="shared" si="20"/>
        <v>632553.67513800005</v>
      </c>
      <c r="R26" s="10">
        <f t="shared" si="21"/>
        <v>2108.5122504600004</v>
      </c>
    </row>
    <row r="27" spans="1:18" ht="42" customHeight="1" x14ac:dyDescent="0.25">
      <c r="A27" s="17" t="s">
        <v>20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 spans="1:18" ht="40.5" x14ac:dyDescent="0.3">
      <c r="A28" s="1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3" t="s">
        <v>6</v>
      </c>
      <c r="H28" s="2" t="s">
        <v>7</v>
      </c>
      <c r="I28" s="2" t="s">
        <v>8</v>
      </c>
      <c r="J28" s="2" t="s">
        <v>9</v>
      </c>
      <c r="K28" s="2" t="s">
        <v>10</v>
      </c>
      <c r="L28" s="4" t="s">
        <v>11</v>
      </c>
      <c r="M28" s="4" t="s">
        <v>12</v>
      </c>
      <c r="N28" s="2" t="s">
        <v>13</v>
      </c>
      <c r="O28" s="2" t="s">
        <v>14</v>
      </c>
      <c r="P28" s="2" t="s">
        <v>15</v>
      </c>
      <c r="Q28" s="2" t="s">
        <v>16</v>
      </c>
      <c r="R28" s="2" t="s">
        <v>17</v>
      </c>
    </row>
    <row r="29" spans="1:18" ht="15.75" x14ac:dyDescent="0.3">
      <c r="A29" s="11">
        <v>1</v>
      </c>
      <c r="B29" s="8">
        <v>1.5</v>
      </c>
      <c r="C29" s="6">
        <f>SUM(E29*E29*D29*507/1000000)</f>
        <v>1.1660999999999999</v>
      </c>
      <c r="D29" s="8">
        <v>23</v>
      </c>
      <c r="E29" s="8">
        <v>10</v>
      </c>
      <c r="F29" s="8">
        <v>3</v>
      </c>
      <c r="G29" s="7">
        <f>SUM(E29*E29*D29*F29*330/800000)</f>
        <v>2.8462499999999999</v>
      </c>
      <c r="H29" s="8">
        <v>10.9</v>
      </c>
      <c r="I29" s="8">
        <v>4050</v>
      </c>
      <c r="J29" s="9">
        <f t="shared" ref="J29:J39" si="22">SUM(G29*I29)</f>
        <v>11527.3125</v>
      </c>
      <c r="K29" s="5">
        <f t="shared" ref="K29:K39" si="23">SUM(H29*300)</f>
        <v>3270</v>
      </c>
      <c r="L29" s="6">
        <f>SUM(G29*100)</f>
        <v>284.625</v>
      </c>
      <c r="M29" s="6">
        <f>SUM(J29+L29)</f>
        <v>11811.9375</v>
      </c>
      <c r="N29" s="9">
        <f>SUM(M29+K29)</f>
        <v>15081.9375</v>
      </c>
      <c r="O29" s="9">
        <f>N29+(N29*4.1%)</f>
        <v>15700.296937499999</v>
      </c>
      <c r="P29" s="9">
        <f>SUM(O29/300)</f>
        <v>52.334323124999997</v>
      </c>
      <c r="Q29" s="6">
        <f>O29+(O29*5%)</f>
        <v>16485.311784375001</v>
      </c>
      <c r="R29" s="10">
        <f>SUM(Q29/300)</f>
        <v>54.951039281250004</v>
      </c>
    </row>
    <row r="30" spans="1:18" ht="15.75" x14ac:dyDescent="0.3">
      <c r="A30" s="11">
        <v>2</v>
      </c>
      <c r="B30" s="8">
        <v>2.5</v>
      </c>
      <c r="C30" s="6">
        <f t="shared" ref="C30:C39" si="24">SUM(E30*E30*D30*507/1000000)</f>
        <v>2.028</v>
      </c>
      <c r="D30" s="8">
        <v>40</v>
      </c>
      <c r="E30" s="8">
        <v>10</v>
      </c>
      <c r="F30" s="8">
        <v>3</v>
      </c>
      <c r="G30" s="7">
        <f t="shared" ref="G30:G39" si="25">SUM(E30*E30*D30*F30*330/800000)</f>
        <v>4.95</v>
      </c>
      <c r="H30" s="8">
        <v>13.8</v>
      </c>
      <c r="I30" s="8">
        <v>4050</v>
      </c>
      <c r="J30" s="9">
        <f t="shared" si="22"/>
        <v>20047.5</v>
      </c>
      <c r="K30" s="5">
        <f t="shared" si="23"/>
        <v>4140</v>
      </c>
      <c r="L30" s="6">
        <f t="shared" ref="L30:L39" si="26">SUM(G30*100)</f>
        <v>495</v>
      </c>
      <c r="M30" s="6">
        <f t="shared" ref="M30:M39" si="27">SUM(J30+L30)</f>
        <v>20542.5</v>
      </c>
      <c r="N30" s="9">
        <f t="shared" ref="N30:N39" si="28">SUM(M30+K30)</f>
        <v>24682.5</v>
      </c>
      <c r="O30" s="9">
        <f t="shared" ref="O30:O39" si="29">N30+(N30*4.1%)</f>
        <v>25694.482499999998</v>
      </c>
      <c r="P30" s="9">
        <f t="shared" ref="P30:P39" si="30">SUM(O30/300)</f>
        <v>85.648274999999998</v>
      </c>
      <c r="Q30" s="6">
        <f t="shared" ref="Q30:Q39" si="31">O30+(O30*5%)</f>
        <v>26979.206624999999</v>
      </c>
      <c r="R30" s="10">
        <f t="shared" ref="R30:R39" si="32">SUM(Q30/300)</f>
        <v>89.930688750000002</v>
      </c>
    </row>
    <row r="31" spans="1:18" ht="15.75" x14ac:dyDescent="0.3">
      <c r="A31" s="11">
        <v>3</v>
      </c>
      <c r="B31" s="8">
        <v>4</v>
      </c>
      <c r="C31" s="6">
        <f t="shared" si="24"/>
        <v>3.0419999999999998</v>
      </c>
      <c r="D31" s="8">
        <v>60</v>
      </c>
      <c r="E31" s="8">
        <v>10</v>
      </c>
      <c r="F31" s="8">
        <v>3</v>
      </c>
      <c r="G31" s="7">
        <f t="shared" si="25"/>
        <v>7.4249999999999998</v>
      </c>
      <c r="H31" s="8">
        <v>18.5</v>
      </c>
      <c r="I31" s="8">
        <v>4050</v>
      </c>
      <c r="J31" s="9">
        <f t="shared" si="22"/>
        <v>30071.25</v>
      </c>
      <c r="K31" s="5">
        <f t="shared" si="23"/>
        <v>5550</v>
      </c>
      <c r="L31" s="6">
        <f t="shared" si="26"/>
        <v>742.5</v>
      </c>
      <c r="M31" s="6">
        <f t="shared" si="27"/>
        <v>30813.75</v>
      </c>
      <c r="N31" s="9">
        <f t="shared" si="28"/>
        <v>36363.75</v>
      </c>
      <c r="O31" s="9">
        <f t="shared" si="29"/>
        <v>37854.66375</v>
      </c>
      <c r="P31" s="9">
        <f t="shared" si="30"/>
        <v>126.18221250000001</v>
      </c>
      <c r="Q31" s="6">
        <f t="shared" si="31"/>
        <v>39747.396937500002</v>
      </c>
      <c r="R31" s="10">
        <f t="shared" si="32"/>
        <v>132.49132312500001</v>
      </c>
    </row>
    <row r="32" spans="1:18" ht="15.75" x14ac:dyDescent="0.3">
      <c r="A32" s="11">
        <v>4</v>
      </c>
      <c r="B32" s="8">
        <v>6</v>
      </c>
      <c r="C32" s="6">
        <f t="shared" si="24"/>
        <v>5.07</v>
      </c>
      <c r="D32" s="8">
        <v>100</v>
      </c>
      <c r="E32" s="8">
        <v>10</v>
      </c>
      <c r="F32" s="8">
        <v>3</v>
      </c>
      <c r="G32" s="7">
        <f t="shared" si="25"/>
        <v>12.375</v>
      </c>
      <c r="H32" s="8">
        <v>21</v>
      </c>
      <c r="I32" s="8">
        <v>4050</v>
      </c>
      <c r="J32" s="9">
        <f t="shared" si="22"/>
        <v>50118.75</v>
      </c>
      <c r="K32" s="5">
        <f t="shared" si="23"/>
        <v>6300</v>
      </c>
      <c r="L32" s="6">
        <f t="shared" si="26"/>
        <v>1237.5</v>
      </c>
      <c r="M32" s="6">
        <f t="shared" si="27"/>
        <v>51356.25</v>
      </c>
      <c r="N32" s="9">
        <f t="shared" si="28"/>
        <v>57656.25</v>
      </c>
      <c r="O32" s="9">
        <f t="shared" si="29"/>
        <v>60020.15625</v>
      </c>
      <c r="P32" s="9">
        <f t="shared" si="30"/>
        <v>200.06718749999999</v>
      </c>
      <c r="Q32" s="6">
        <f t="shared" si="31"/>
        <v>63021.1640625</v>
      </c>
      <c r="R32" s="10">
        <f t="shared" si="32"/>
        <v>210.07054687499999</v>
      </c>
    </row>
    <row r="33" spans="1:18" ht="15.75" x14ac:dyDescent="0.3">
      <c r="A33" s="11">
        <v>5</v>
      </c>
      <c r="B33" s="10">
        <v>10</v>
      </c>
      <c r="C33" s="6">
        <f t="shared" si="24"/>
        <v>9.1259999999999994</v>
      </c>
      <c r="D33" s="10">
        <v>180</v>
      </c>
      <c r="E33" s="10">
        <v>10</v>
      </c>
      <c r="F33" s="8">
        <v>3</v>
      </c>
      <c r="G33" s="7">
        <f t="shared" si="25"/>
        <v>22.274999999999999</v>
      </c>
      <c r="H33" s="10">
        <v>25</v>
      </c>
      <c r="I33" s="8">
        <v>4050</v>
      </c>
      <c r="J33" s="9">
        <f t="shared" si="22"/>
        <v>90213.75</v>
      </c>
      <c r="K33" s="5">
        <f t="shared" si="23"/>
        <v>7500</v>
      </c>
      <c r="L33" s="6">
        <f t="shared" si="26"/>
        <v>2227.5</v>
      </c>
      <c r="M33" s="6">
        <f t="shared" si="27"/>
        <v>92441.25</v>
      </c>
      <c r="N33" s="9">
        <f t="shared" si="28"/>
        <v>99941.25</v>
      </c>
      <c r="O33" s="9">
        <f t="shared" si="29"/>
        <v>104038.84125</v>
      </c>
      <c r="P33" s="9">
        <f t="shared" si="30"/>
        <v>346.79613749999999</v>
      </c>
      <c r="Q33" s="6">
        <f t="shared" si="31"/>
        <v>109240.7833125</v>
      </c>
      <c r="R33" s="10">
        <f t="shared" si="32"/>
        <v>364.13594437500001</v>
      </c>
    </row>
    <row r="34" spans="1:18" ht="15.75" x14ac:dyDescent="0.3">
      <c r="A34" s="11">
        <v>6</v>
      </c>
      <c r="B34" s="10">
        <v>16</v>
      </c>
      <c r="C34" s="6">
        <f t="shared" si="24"/>
        <v>14.196</v>
      </c>
      <c r="D34" s="10">
        <v>280</v>
      </c>
      <c r="E34" s="10">
        <v>10</v>
      </c>
      <c r="F34" s="8">
        <v>3</v>
      </c>
      <c r="G34" s="7">
        <f t="shared" si="25"/>
        <v>34.65</v>
      </c>
      <c r="H34" s="10">
        <v>32.799999999999997</v>
      </c>
      <c r="I34" s="8">
        <v>4050</v>
      </c>
      <c r="J34" s="9">
        <f t="shared" si="22"/>
        <v>140332.5</v>
      </c>
      <c r="K34" s="5">
        <f t="shared" si="23"/>
        <v>9840</v>
      </c>
      <c r="L34" s="6">
        <f t="shared" si="26"/>
        <v>3465</v>
      </c>
      <c r="M34" s="6">
        <f t="shared" si="27"/>
        <v>143797.5</v>
      </c>
      <c r="N34" s="9">
        <f t="shared" si="28"/>
        <v>153637.5</v>
      </c>
      <c r="O34" s="9">
        <f t="shared" si="29"/>
        <v>159936.63750000001</v>
      </c>
      <c r="P34" s="9">
        <f t="shared" si="30"/>
        <v>533.12212499999998</v>
      </c>
      <c r="Q34" s="6">
        <f t="shared" si="31"/>
        <v>167933.46937500002</v>
      </c>
      <c r="R34" s="10">
        <f t="shared" si="32"/>
        <v>559.77823125000009</v>
      </c>
    </row>
    <row r="35" spans="1:18" ht="15.75" x14ac:dyDescent="0.3">
      <c r="A35" s="11">
        <v>7</v>
      </c>
      <c r="B35" s="10">
        <v>25</v>
      </c>
      <c r="C35" s="6">
        <f t="shared" si="24"/>
        <v>19.874400000000001</v>
      </c>
      <c r="D35" s="10">
        <v>200</v>
      </c>
      <c r="E35" s="10">
        <v>14</v>
      </c>
      <c r="F35" s="8">
        <v>3</v>
      </c>
      <c r="G35" s="7">
        <f t="shared" si="25"/>
        <v>48.51</v>
      </c>
      <c r="H35" s="10"/>
      <c r="I35" s="8">
        <v>4050</v>
      </c>
      <c r="J35" s="9">
        <f t="shared" si="22"/>
        <v>196465.5</v>
      </c>
      <c r="K35" s="5">
        <f t="shared" si="23"/>
        <v>0</v>
      </c>
      <c r="L35" s="6">
        <f t="shared" si="26"/>
        <v>4851</v>
      </c>
      <c r="M35" s="6">
        <f t="shared" si="27"/>
        <v>201316.5</v>
      </c>
      <c r="N35" s="9">
        <f t="shared" si="28"/>
        <v>201316.5</v>
      </c>
      <c r="O35" s="9">
        <f t="shared" si="29"/>
        <v>209570.47649999999</v>
      </c>
      <c r="P35" s="9">
        <f t="shared" si="30"/>
        <v>698.56825500000002</v>
      </c>
      <c r="Q35" s="6">
        <f t="shared" si="31"/>
        <v>220049.000325</v>
      </c>
      <c r="R35" s="10">
        <f t="shared" si="32"/>
        <v>733.49666775000003</v>
      </c>
    </row>
    <row r="36" spans="1:18" ht="15.75" x14ac:dyDescent="0.3">
      <c r="A36" s="11">
        <v>8</v>
      </c>
      <c r="B36" s="10">
        <v>35</v>
      </c>
      <c r="C36" s="6">
        <f t="shared" si="24"/>
        <v>29.811599999999999</v>
      </c>
      <c r="D36" s="10">
        <v>300</v>
      </c>
      <c r="E36" s="10">
        <v>14</v>
      </c>
      <c r="F36" s="8">
        <v>3</v>
      </c>
      <c r="G36" s="7">
        <f t="shared" si="25"/>
        <v>72.765000000000001</v>
      </c>
      <c r="H36" s="10"/>
      <c r="I36" s="8">
        <v>4050</v>
      </c>
      <c r="J36" s="9">
        <f t="shared" si="22"/>
        <v>294698.25</v>
      </c>
      <c r="K36" s="5">
        <f t="shared" si="23"/>
        <v>0</v>
      </c>
      <c r="L36" s="6">
        <f t="shared" si="26"/>
        <v>7276.5</v>
      </c>
      <c r="M36" s="6">
        <f t="shared" si="27"/>
        <v>301974.75</v>
      </c>
      <c r="N36" s="9">
        <f t="shared" si="28"/>
        <v>301974.75</v>
      </c>
      <c r="O36" s="9">
        <f t="shared" si="29"/>
        <v>314355.71474999998</v>
      </c>
      <c r="P36" s="9">
        <f t="shared" si="30"/>
        <v>1047.8523825</v>
      </c>
      <c r="Q36" s="6">
        <f t="shared" si="31"/>
        <v>330073.50048749999</v>
      </c>
      <c r="R36" s="10">
        <f t="shared" si="32"/>
        <v>1100.245001625</v>
      </c>
    </row>
    <row r="37" spans="1:18" ht="15.75" x14ac:dyDescent="0.3">
      <c r="A37" s="11">
        <v>9</v>
      </c>
      <c r="B37" s="10">
        <v>50</v>
      </c>
      <c r="C37" s="6">
        <f t="shared" si="24"/>
        <v>39.748800000000003</v>
      </c>
      <c r="D37" s="10">
        <v>400</v>
      </c>
      <c r="E37" s="10">
        <v>14</v>
      </c>
      <c r="F37" s="8">
        <v>3</v>
      </c>
      <c r="G37" s="7">
        <f t="shared" si="25"/>
        <v>97.02</v>
      </c>
      <c r="H37" s="10"/>
      <c r="I37" s="8">
        <v>4050</v>
      </c>
      <c r="J37" s="9">
        <f t="shared" si="22"/>
        <v>392931</v>
      </c>
      <c r="K37" s="5">
        <f t="shared" si="23"/>
        <v>0</v>
      </c>
      <c r="L37" s="6">
        <f t="shared" si="26"/>
        <v>9702</v>
      </c>
      <c r="M37" s="6">
        <f t="shared" si="27"/>
        <v>402633</v>
      </c>
      <c r="N37" s="9">
        <f t="shared" si="28"/>
        <v>402633</v>
      </c>
      <c r="O37" s="9">
        <f t="shared" si="29"/>
        <v>419140.95299999998</v>
      </c>
      <c r="P37" s="9">
        <f t="shared" si="30"/>
        <v>1397.13651</v>
      </c>
      <c r="Q37" s="6">
        <f t="shared" si="31"/>
        <v>440098.00065</v>
      </c>
      <c r="R37" s="10">
        <f t="shared" si="32"/>
        <v>1466.9933355000001</v>
      </c>
    </row>
    <row r="38" spans="1:18" ht="15.75" x14ac:dyDescent="0.3">
      <c r="A38" s="11">
        <v>10</v>
      </c>
      <c r="B38" s="10">
        <v>70</v>
      </c>
      <c r="C38" s="6">
        <f t="shared" si="24"/>
        <v>59.623199999999997</v>
      </c>
      <c r="D38" s="10">
        <v>600</v>
      </c>
      <c r="E38" s="10">
        <v>14</v>
      </c>
      <c r="F38" s="8">
        <v>3</v>
      </c>
      <c r="G38" s="7">
        <f t="shared" si="25"/>
        <v>145.53</v>
      </c>
      <c r="H38" s="10"/>
      <c r="I38" s="8">
        <v>4050</v>
      </c>
      <c r="J38" s="9">
        <f t="shared" si="22"/>
        <v>589396.5</v>
      </c>
      <c r="K38" s="5">
        <f t="shared" si="23"/>
        <v>0</v>
      </c>
      <c r="L38" s="6">
        <f t="shared" si="26"/>
        <v>14553</v>
      </c>
      <c r="M38" s="6">
        <f t="shared" si="27"/>
        <v>603949.5</v>
      </c>
      <c r="N38" s="9">
        <f t="shared" si="28"/>
        <v>603949.5</v>
      </c>
      <c r="O38" s="9">
        <f t="shared" si="29"/>
        <v>628711.42949999997</v>
      </c>
      <c r="P38" s="9">
        <f t="shared" si="30"/>
        <v>2095.704765</v>
      </c>
      <c r="Q38" s="6">
        <f t="shared" si="31"/>
        <v>660147.00097499997</v>
      </c>
      <c r="R38" s="10">
        <f t="shared" si="32"/>
        <v>2200.49000325</v>
      </c>
    </row>
    <row r="39" spans="1:18" ht="15.75" x14ac:dyDescent="0.3">
      <c r="A39" s="11">
        <v>11</v>
      </c>
      <c r="B39" s="10">
        <v>95</v>
      </c>
      <c r="C39" s="6">
        <f t="shared" si="24"/>
        <v>79.497600000000006</v>
      </c>
      <c r="D39" s="10">
        <v>800</v>
      </c>
      <c r="E39" s="10">
        <v>14</v>
      </c>
      <c r="F39" s="8">
        <v>3</v>
      </c>
      <c r="G39" s="7">
        <f t="shared" si="25"/>
        <v>194.04</v>
      </c>
      <c r="H39" s="10"/>
      <c r="I39" s="8">
        <v>4050</v>
      </c>
      <c r="J39" s="9">
        <f t="shared" si="22"/>
        <v>785862</v>
      </c>
      <c r="K39" s="5">
        <f t="shared" si="23"/>
        <v>0</v>
      </c>
      <c r="L39" s="6">
        <f t="shared" si="26"/>
        <v>19404</v>
      </c>
      <c r="M39" s="6">
        <f t="shared" si="27"/>
        <v>805266</v>
      </c>
      <c r="N39" s="9">
        <f t="shared" si="28"/>
        <v>805266</v>
      </c>
      <c r="O39" s="9">
        <f t="shared" si="29"/>
        <v>838281.90599999996</v>
      </c>
      <c r="P39" s="9">
        <f t="shared" si="30"/>
        <v>2794.2730200000001</v>
      </c>
      <c r="Q39" s="6">
        <f t="shared" si="31"/>
        <v>880196.0013</v>
      </c>
      <c r="R39" s="10">
        <f t="shared" si="32"/>
        <v>2933.9866710000001</v>
      </c>
    </row>
    <row r="40" spans="1:18" ht="31.5" x14ac:dyDescent="0.5">
      <c r="A40" s="12" t="s">
        <v>21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40.5" x14ac:dyDescent="0.3">
      <c r="A41" s="1" t="s">
        <v>0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3" t="s">
        <v>6</v>
      </c>
      <c r="H41" s="2" t="s">
        <v>7</v>
      </c>
      <c r="I41" s="2" t="s">
        <v>8</v>
      </c>
      <c r="J41" s="2" t="s">
        <v>9</v>
      </c>
      <c r="K41" s="2" t="s">
        <v>10</v>
      </c>
      <c r="L41" s="4" t="s">
        <v>11</v>
      </c>
      <c r="M41" s="4" t="s">
        <v>12</v>
      </c>
      <c r="N41" s="2" t="s">
        <v>13</v>
      </c>
      <c r="O41" s="2" t="s">
        <v>14</v>
      </c>
      <c r="P41" s="2" t="s">
        <v>15</v>
      </c>
      <c r="Q41" s="2" t="s">
        <v>16</v>
      </c>
      <c r="R41" s="2" t="s">
        <v>17</v>
      </c>
    </row>
    <row r="42" spans="1:18" x14ac:dyDescent="0.25">
      <c r="A42" s="11">
        <v>1</v>
      </c>
      <c r="B42" s="8">
        <v>1.5</v>
      </c>
      <c r="C42" s="13">
        <f>SUM(E42*E42*D42*507/1000000)</f>
        <v>0.95062500000000005</v>
      </c>
      <c r="D42" s="10">
        <v>3</v>
      </c>
      <c r="E42" s="10">
        <v>25</v>
      </c>
      <c r="F42" s="10">
        <v>3</v>
      </c>
      <c r="G42" s="13">
        <f>SUM(E42*E42*D42*F42*330/800000)</f>
        <v>2.3203125</v>
      </c>
      <c r="H42" s="14">
        <v>10.9</v>
      </c>
      <c r="I42" s="15">
        <v>4050</v>
      </c>
      <c r="J42" s="13">
        <f t="shared" ref="J42:J52" si="33">SUM(G42*I42)</f>
        <v>9397.265625</v>
      </c>
      <c r="K42" s="16">
        <f t="shared" ref="K42:K52" si="34">SUM(H42*300)</f>
        <v>3270</v>
      </c>
      <c r="L42" s="13">
        <f>SUM(G42*50)</f>
        <v>116.015625</v>
      </c>
      <c r="M42" s="13">
        <f>SUM(J42+L42)</f>
        <v>9513.28125</v>
      </c>
      <c r="N42" s="13">
        <f>SUM(M42+K42)</f>
        <v>12783.28125</v>
      </c>
      <c r="O42" s="13">
        <f>N42+(N42*4.1%)</f>
        <v>13307.395781249999</v>
      </c>
      <c r="P42" s="13">
        <f>SUM(O42/300)</f>
        <v>44.357985937499997</v>
      </c>
      <c r="Q42" s="13">
        <f>O42+(O42*5%)</f>
        <v>13972.7655703125</v>
      </c>
      <c r="R42" s="10">
        <f>SUM(Q42/300)</f>
        <v>46.575885234375001</v>
      </c>
    </row>
    <row r="43" spans="1:18" x14ac:dyDescent="0.25">
      <c r="A43" s="11">
        <v>2</v>
      </c>
      <c r="B43" s="8">
        <v>2.5</v>
      </c>
      <c r="C43" s="13">
        <f t="shared" ref="C43:C52" si="35">SUM(E43*E43*D43*507/1000000)</f>
        <v>2.2181250000000001</v>
      </c>
      <c r="D43" s="10">
        <v>7</v>
      </c>
      <c r="E43" s="10">
        <v>25</v>
      </c>
      <c r="F43" s="10">
        <v>3</v>
      </c>
      <c r="G43" s="13">
        <f t="shared" ref="G43:G52" si="36">SUM(E43*E43*D43*F43*330/800000)</f>
        <v>5.4140625</v>
      </c>
      <c r="H43" s="14">
        <v>13.8</v>
      </c>
      <c r="I43" s="15">
        <v>4050</v>
      </c>
      <c r="J43" s="13">
        <f t="shared" si="33"/>
        <v>21926.953125</v>
      </c>
      <c r="K43" s="16">
        <f t="shared" si="34"/>
        <v>4140</v>
      </c>
      <c r="L43" s="13">
        <f t="shared" ref="L43:L52" si="37">SUM(G43*50)</f>
        <v>270.703125</v>
      </c>
      <c r="M43" s="13">
        <f t="shared" ref="M43:M52" si="38">SUM(J43+L43)</f>
        <v>22197.65625</v>
      </c>
      <c r="N43" s="13">
        <f t="shared" ref="N43:N52" si="39">SUM(M43+K43)</f>
        <v>26337.65625</v>
      </c>
      <c r="O43" s="13">
        <f t="shared" ref="O43:O52" si="40">N43+(N43*4.1%)</f>
        <v>27417.50015625</v>
      </c>
      <c r="P43" s="13">
        <f t="shared" ref="P43:P52" si="41">SUM(O43/300)</f>
        <v>91.391667187500005</v>
      </c>
      <c r="Q43" s="13">
        <f t="shared" ref="Q43:Q52" si="42">O43+(O43*5%)</f>
        <v>28788.375164062501</v>
      </c>
      <c r="R43" s="10">
        <f t="shared" ref="R43:R52" si="43">SUM(Q43/300)</f>
        <v>95.961250546875007</v>
      </c>
    </row>
    <row r="44" spans="1:18" x14ac:dyDescent="0.25">
      <c r="A44" s="11">
        <v>3</v>
      </c>
      <c r="B44" s="8">
        <v>4</v>
      </c>
      <c r="C44" s="13">
        <f t="shared" si="35"/>
        <v>3.1941000000000002</v>
      </c>
      <c r="D44" s="10">
        <v>7</v>
      </c>
      <c r="E44" s="10">
        <v>30</v>
      </c>
      <c r="F44" s="10">
        <v>3</v>
      </c>
      <c r="G44" s="13">
        <f t="shared" si="36"/>
        <v>7.7962499999999997</v>
      </c>
      <c r="H44" s="14">
        <v>18.5</v>
      </c>
      <c r="I44" s="15">
        <v>4050</v>
      </c>
      <c r="J44" s="13">
        <f t="shared" si="33"/>
        <v>31574.8125</v>
      </c>
      <c r="K44" s="16">
        <f t="shared" si="34"/>
        <v>5550</v>
      </c>
      <c r="L44" s="13">
        <f t="shared" si="37"/>
        <v>389.8125</v>
      </c>
      <c r="M44" s="13">
        <f t="shared" si="38"/>
        <v>31964.625</v>
      </c>
      <c r="N44" s="13">
        <f t="shared" si="39"/>
        <v>37514.625</v>
      </c>
      <c r="O44" s="13">
        <f t="shared" si="40"/>
        <v>39052.724625000003</v>
      </c>
      <c r="P44" s="13">
        <f t="shared" si="41"/>
        <v>130.17574875</v>
      </c>
      <c r="Q44" s="13">
        <f t="shared" si="42"/>
        <v>41005.360856250001</v>
      </c>
      <c r="R44" s="10">
        <f t="shared" si="43"/>
        <v>136.68453618750002</v>
      </c>
    </row>
    <row r="45" spans="1:18" x14ac:dyDescent="0.25">
      <c r="A45" s="11">
        <v>4</v>
      </c>
      <c r="B45" s="8">
        <v>6</v>
      </c>
      <c r="C45" s="13">
        <f t="shared" si="35"/>
        <v>5.1247559999999996</v>
      </c>
      <c r="D45" s="10">
        <v>7</v>
      </c>
      <c r="E45" s="10">
        <v>38</v>
      </c>
      <c r="F45" s="10">
        <v>3</v>
      </c>
      <c r="G45" s="13">
        <f t="shared" si="36"/>
        <v>12.508649999999999</v>
      </c>
      <c r="H45" s="14">
        <v>21</v>
      </c>
      <c r="I45" s="15">
        <v>4050</v>
      </c>
      <c r="J45" s="13">
        <f t="shared" si="33"/>
        <v>50660.032499999994</v>
      </c>
      <c r="K45" s="16">
        <f t="shared" si="34"/>
        <v>6300</v>
      </c>
      <c r="L45" s="13">
        <f t="shared" si="37"/>
        <v>625.4325</v>
      </c>
      <c r="M45" s="13">
        <f t="shared" si="38"/>
        <v>51285.464999999997</v>
      </c>
      <c r="N45" s="13">
        <f t="shared" si="39"/>
        <v>57585.464999999997</v>
      </c>
      <c r="O45" s="13">
        <f t="shared" si="40"/>
        <v>59946.469064999997</v>
      </c>
      <c r="P45" s="13">
        <f t="shared" si="41"/>
        <v>199.82156354999998</v>
      </c>
      <c r="Q45" s="13">
        <f t="shared" si="42"/>
        <v>62943.792518249997</v>
      </c>
      <c r="R45" s="10">
        <f t="shared" si="43"/>
        <v>209.81264172749999</v>
      </c>
    </row>
    <row r="46" spans="1:18" x14ac:dyDescent="0.25">
      <c r="A46" s="11">
        <v>5</v>
      </c>
      <c r="B46" s="10">
        <v>10</v>
      </c>
      <c r="C46" s="13">
        <f t="shared" si="35"/>
        <v>7.8397410000000001</v>
      </c>
      <c r="D46" s="10">
        <v>7</v>
      </c>
      <c r="E46" s="10">
        <v>47</v>
      </c>
      <c r="F46" s="10">
        <v>3</v>
      </c>
      <c r="G46" s="13">
        <f t="shared" si="36"/>
        <v>19.135462499999999</v>
      </c>
      <c r="H46" s="10">
        <v>25</v>
      </c>
      <c r="I46" s="15">
        <v>4050</v>
      </c>
      <c r="J46" s="13">
        <f t="shared" si="33"/>
        <v>77498.623124999998</v>
      </c>
      <c r="K46" s="16">
        <f t="shared" si="34"/>
        <v>7500</v>
      </c>
      <c r="L46" s="13">
        <f t="shared" si="37"/>
        <v>956.77312499999994</v>
      </c>
      <c r="M46" s="13">
        <f t="shared" si="38"/>
        <v>78455.396250000005</v>
      </c>
      <c r="N46" s="13">
        <f t="shared" si="39"/>
        <v>85955.396250000005</v>
      </c>
      <c r="O46" s="13">
        <f t="shared" si="40"/>
        <v>89479.567496250005</v>
      </c>
      <c r="P46" s="13">
        <f t="shared" si="41"/>
        <v>298.26522498750001</v>
      </c>
      <c r="Q46" s="13">
        <f t="shared" si="42"/>
        <v>93953.54587106251</v>
      </c>
      <c r="R46" s="10">
        <f t="shared" si="43"/>
        <v>313.17848623687502</v>
      </c>
    </row>
    <row r="47" spans="1:18" x14ac:dyDescent="0.25">
      <c r="A47" s="11">
        <v>6</v>
      </c>
      <c r="B47" s="10">
        <v>16</v>
      </c>
      <c r="C47" s="13">
        <f t="shared" si="35"/>
        <v>12.776400000000001</v>
      </c>
      <c r="D47" s="10">
        <v>7</v>
      </c>
      <c r="E47" s="10">
        <v>60</v>
      </c>
      <c r="F47" s="10">
        <v>3</v>
      </c>
      <c r="G47" s="13">
        <f t="shared" si="36"/>
        <v>31.184999999999999</v>
      </c>
      <c r="H47" s="10">
        <v>32.799999999999997</v>
      </c>
      <c r="I47" s="15">
        <v>4050</v>
      </c>
      <c r="J47" s="13">
        <f t="shared" si="33"/>
        <v>126299.25</v>
      </c>
      <c r="K47" s="16">
        <f>SUM(H47*300)</f>
        <v>9840</v>
      </c>
      <c r="L47" s="13">
        <f t="shared" si="37"/>
        <v>1559.25</v>
      </c>
      <c r="M47" s="13">
        <f t="shared" si="38"/>
        <v>127858.5</v>
      </c>
      <c r="N47" s="13">
        <f t="shared" si="39"/>
        <v>137698.5</v>
      </c>
      <c r="O47" s="13">
        <f t="shared" si="40"/>
        <v>143344.1385</v>
      </c>
      <c r="P47" s="13">
        <f t="shared" si="41"/>
        <v>477.81379500000003</v>
      </c>
      <c r="Q47" s="13">
        <f t="shared" si="42"/>
        <v>150511.34542500001</v>
      </c>
      <c r="R47" s="10">
        <f t="shared" si="43"/>
        <v>501.70448475000001</v>
      </c>
    </row>
    <row r="48" spans="1:18" x14ac:dyDescent="0.25">
      <c r="A48" s="11">
        <v>7</v>
      </c>
      <c r="B48" s="10">
        <v>25</v>
      </c>
      <c r="C48" s="13">
        <f t="shared" si="35"/>
        <v>24.0825</v>
      </c>
      <c r="D48" s="10">
        <v>19</v>
      </c>
      <c r="E48" s="10">
        <v>50</v>
      </c>
      <c r="F48" s="10">
        <v>3</v>
      </c>
      <c r="G48" s="13">
        <f t="shared" si="36"/>
        <v>58.78125</v>
      </c>
      <c r="H48" s="10"/>
      <c r="I48" s="15">
        <v>4050</v>
      </c>
      <c r="J48" s="13">
        <f t="shared" si="33"/>
        <v>238064.0625</v>
      </c>
      <c r="K48" s="16">
        <f t="shared" si="34"/>
        <v>0</v>
      </c>
      <c r="L48" s="13">
        <f t="shared" si="37"/>
        <v>2939.0625</v>
      </c>
      <c r="M48" s="13">
        <f t="shared" si="38"/>
        <v>241003.125</v>
      </c>
      <c r="N48" s="13">
        <f t="shared" si="39"/>
        <v>241003.125</v>
      </c>
      <c r="O48" s="13">
        <f t="shared" si="40"/>
        <v>250884.25312499999</v>
      </c>
      <c r="P48" s="13">
        <f t="shared" si="41"/>
        <v>836.28084374999992</v>
      </c>
      <c r="Q48" s="13">
        <f t="shared" si="42"/>
        <v>263428.46578124998</v>
      </c>
      <c r="R48" s="10">
        <f t="shared" si="43"/>
        <v>878.09488593749995</v>
      </c>
    </row>
    <row r="49" spans="1:18" x14ac:dyDescent="0.25">
      <c r="A49" s="11">
        <v>8</v>
      </c>
      <c r="B49" s="10">
        <v>35</v>
      </c>
      <c r="C49" s="13">
        <f t="shared" si="35"/>
        <v>32.405411999999998</v>
      </c>
      <c r="D49" s="10">
        <v>19</v>
      </c>
      <c r="E49" s="10">
        <v>58</v>
      </c>
      <c r="F49" s="10">
        <v>3</v>
      </c>
      <c r="G49" s="13">
        <f t="shared" si="36"/>
        <v>79.096050000000005</v>
      </c>
      <c r="H49" s="10"/>
      <c r="I49" s="15">
        <v>4050</v>
      </c>
      <c r="J49" s="13">
        <f t="shared" si="33"/>
        <v>320339.0025</v>
      </c>
      <c r="K49" s="16">
        <f t="shared" si="34"/>
        <v>0</v>
      </c>
      <c r="L49" s="13">
        <f t="shared" si="37"/>
        <v>3954.8025000000002</v>
      </c>
      <c r="M49" s="13">
        <f t="shared" si="38"/>
        <v>324293.80499999999</v>
      </c>
      <c r="N49" s="13">
        <f t="shared" si="39"/>
        <v>324293.80499999999</v>
      </c>
      <c r="O49" s="13">
        <f t="shared" si="40"/>
        <v>337589.851005</v>
      </c>
      <c r="P49" s="13">
        <f t="shared" si="41"/>
        <v>1125.2995033500001</v>
      </c>
      <c r="Q49" s="13">
        <f t="shared" si="42"/>
        <v>354469.34355525003</v>
      </c>
      <c r="R49" s="10">
        <f t="shared" si="43"/>
        <v>1181.5644785175</v>
      </c>
    </row>
    <row r="50" spans="1:18" x14ac:dyDescent="0.25">
      <c r="A50" s="11">
        <v>9</v>
      </c>
      <c r="B50" s="10">
        <v>50</v>
      </c>
      <c r="C50" s="13">
        <f t="shared" si="35"/>
        <v>44.542991999999998</v>
      </c>
      <c r="D50" s="10">
        <v>19</v>
      </c>
      <c r="E50" s="10">
        <v>68</v>
      </c>
      <c r="F50" s="10">
        <v>3</v>
      </c>
      <c r="G50" s="13">
        <f t="shared" si="36"/>
        <v>108.7218</v>
      </c>
      <c r="H50" s="10"/>
      <c r="I50" s="15">
        <v>4050</v>
      </c>
      <c r="J50" s="13">
        <f t="shared" si="33"/>
        <v>440323.29</v>
      </c>
      <c r="K50" s="16">
        <f t="shared" si="34"/>
        <v>0</v>
      </c>
      <c r="L50" s="13">
        <f t="shared" si="37"/>
        <v>5436.09</v>
      </c>
      <c r="M50" s="13">
        <f t="shared" si="38"/>
        <v>445759.38</v>
      </c>
      <c r="N50" s="13">
        <f t="shared" si="39"/>
        <v>445759.38</v>
      </c>
      <c r="O50" s="13">
        <f t="shared" si="40"/>
        <v>464035.51458000002</v>
      </c>
      <c r="P50" s="13">
        <f t="shared" si="41"/>
        <v>1546.7850486</v>
      </c>
      <c r="Q50" s="13">
        <f t="shared" si="42"/>
        <v>487237.290309</v>
      </c>
      <c r="R50" s="10">
        <f t="shared" si="43"/>
        <v>1624.12430103</v>
      </c>
    </row>
    <row r="51" spans="1:18" x14ac:dyDescent="0.25">
      <c r="A51" s="11">
        <v>10</v>
      </c>
      <c r="B51" s="10">
        <v>70</v>
      </c>
      <c r="C51" s="13">
        <f t="shared" si="35"/>
        <v>58.406399999999998</v>
      </c>
      <c r="D51" s="10">
        <v>18</v>
      </c>
      <c r="E51" s="10">
        <v>80</v>
      </c>
      <c r="F51" s="10">
        <v>3</v>
      </c>
      <c r="G51" s="13">
        <f t="shared" si="36"/>
        <v>142.56</v>
      </c>
      <c r="H51" s="10"/>
      <c r="I51" s="15">
        <v>4050</v>
      </c>
      <c r="J51" s="13">
        <f t="shared" si="33"/>
        <v>577368</v>
      </c>
      <c r="K51" s="16">
        <f t="shared" si="34"/>
        <v>0</v>
      </c>
      <c r="L51" s="13">
        <f t="shared" si="37"/>
        <v>7128</v>
      </c>
      <c r="M51" s="13">
        <f t="shared" si="38"/>
        <v>584496</v>
      </c>
      <c r="N51" s="13">
        <f t="shared" si="39"/>
        <v>584496</v>
      </c>
      <c r="O51" s="13">
        <f t="shared" si="40"/>
        <v>608460.33600000001</v>
      </c>
      <c r="P51" s="13">
        <f t="shared" si="41"/>
        <v>2028.2011199999999</v>
      </c>
      <c r="Q51" s="13">
        <f t="shared" si="42"/>
        <v>638883.35279999999</v>
      </c>
      <c r="R51" s="10">
        <f t="shared" si="43"/>
        <v>2129.6111759999999</v>
      </c>
    </row>
    <row r="52" spans="1:18" x14ac:dyDescent="0.25">
      <c r="A52" s="11">
        <v>11</v>
      </c>
      <c r="B52" s="10">
        <v>95</v>
      </c>
      <c r="C52" s="13">
        <f t="shared" si="35"/>
        <v>86.741615999999993</v>
      </c>
      <c r="D52" s="10">
        <v>37</v>
      </c>
      <c r="E52" s="10">
        <v>68</v>
      </c>
      <c r="F52" s="10">
        <v>3</v>
      </c>
      <c r="G52" s="13">
        <f t="shared" si="36"/>
        <v>211.72139999999999</v>
      </c>
      <c r="H52" s="10"/>
      <c r="I52" s="15">
        <v>4050</v>
      </c>
      <c r="J52" s="13">
        <f t="shared" si="33"/>
        <v>857471.66999999993</v>
      </c>
      <c r="K52" s="16">
        <f t="shared" si="34"/>
        <v>0</v>
      </c>
      <c r="L52" s="13">
        <f t="shared" si="37"/>
        <v>10586.07</v>
      </c>
      <c r="M52" s="13">
        <f t="shared" si="38"/>
        <v>868057.73999999987</v>
      </c>
      <c r="N52" s="13">
        <f t="shared" si="39"/>
        <v>868057.73999999987</v>
      </c>
      <c r="O52" s="13">
        <f t="shared" si="40"/>
        <v>903648.10733999987</v>
      </c>
      <c r="P52" s="13">
        <f t="shared" si="41"/>
        <v>3012.1603577999995</v>
      </c>
      <c r="Q52" s="13">
        <f t="shared" si="42"/>
        <v>948830.5127069999</v>
      </c>
      <c r="R52" s="10">
        <f t="shared" si="43"/>
        <v>3162.7683756899996</v>
      </c>
    </row>
    <row r="53" spans="1:18" ht="31.5" x14ac:dyDescent="0.25">
      <c r="A53" s="17" t="s">
        <v>22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</row>
    <row r="54" spans="1:18" ht="40.5" x14ac:dyDescent="0.3">
      <c r="A54" s="1" t="s">
        <v>0</v>
      </c>
      <c r="B54" s="2" t="s">
        <v>1</v>
      </c>
      <c r="C54" s="2" t="s">
        <v>2</v>
      </c>
      <c r="D54" s="2" t="s">
        <v>3</v>
      </c>
      <c r="E54" s="2" t="s">
        <v>4</v>
      </c>
      <c r="F54" s="2" t="s">
        <v>5</v>
      </c>
      <c r="G54" s="3" t="s">
        <v>6</v>
      </c>
      <c r="H54" s="2" t="s">
        <v>7</v>
      </c>
      <c r="I54" s="2" t="s">
        <v>8</v>
      </c>
      <c r="J54" s="2" t="s">
        <v>9</v>
      </c>
      <c r="K54" s="2" t="s">
        <v>10</v>
      </c>
      <c r="L54" s="4" t="s">
        <v>11</v>
      </c>
      <c r="M54" s="4" t="s">
        <v>12</v>
      </c>
      <c r="N54" s="2" t="s">
        <v>13</v>
      </c>
      <c r="O54" s="2" t="s">
        <v>14</v>
      </c>
      <c r="P54" s="2" t="s">
        <v>15</v>
      </c>
      <c r="Q54" s="2" t="s">
        <v>16</v>
      </c>
      <c r="R54" s="2" t="s">
        <v>17</v>
      </c>
    </row>
    <row r="55" spans="1:18" ht="15.75" x14ac:dyDescent="0.3">
      <c r="A55" s="11">
        <v>1</v>
      </c>
      <c r="B55" s="8">
        <v>1.5</v>
      </c>
      <c r="C55" s="6">
        <f>SUM(E55*E55*D55*507/1000000)</f>
        <v>1.1660999999999999</v>
      </c>
      <c r="D55" s="8">
        <v>23</v>
      </c>
      <c r="E55" s="8">
        <v>10</v>
      </c>
      <c r="F55" s="8">
        <v>4</v>
      </c>
      <c r="G55" s="7">
        <f>SUM(E55*E55*D55*F55*330/800000)</f>
        <v>3.7949999999999999</v>
      </c>
      <c r="H55" s="8">
        <v>13.2</v>
      </c>
      <c r="I55" s="8">
        <v>4050</v>
      </c>
      <c r="J55" s="9">
        <f t="shared" ref="J55:J65" si="44">SUM(G55*I55)</f>
        <v>15369.75</v>
      </c>
      <c r="K55" s="5">
        <f t="shared" ref="K55:K65" si="45">SUM(H55*300)</f>
        <v>3960</v>
      </c>
      <c r="L55" s="6">
        <f>SUM(G55*100)</f>
        <v>379.5</v>
      </c>
      <c r="M55" s="6">
        <f>SUM(J55+L55)</f>
        <v>15749.25</v>
      </c>
      <c r="N55" s="9">
        <f>SUM(M55+K55)</f>
        <v>19709.25</v>
      </c>
      <c r="O55" s="9">
        <f>N55+(N55*4.1%)</f>
        <v>20517.329249999999</v>
      </c>
      <c r="P55" s="9">
        <f>SUM(O55/300)</f>
        <v>68.391097500000001</v>
      </c>
      <c r="Q55" s="6">
        <f>O55+(O55*5%)</f>
        <v>21543.195712499997</v>
      </c>
      <c r="R55" s="10">
        <f>SUM(Q55/300)</f>
        <v>71.810652374999989</v>
      </c>
    </row>
    <row r="56" spans="1:18" ht="15.75" x14ac:dyDescent="0.3">
      <c r="A56" s="11">
        <v>2</v>
      </c>
      <c r="B56" s="8">
        <v>2.5</v>
      </c>
      <c r="C56" s="6">
        <f t="shared" ref="C56:C65" si="46">SUM(E56*E56*D56*507/1000000)</f>
        <v>2.028</v>
      </c>
      <c r="D56" s="8">
        <v>40</v>
      </c>
      <c r="E56" s="8">
        <v>10</v>
      </c>
      <c r="F56" s="8">
        <v>4</v>
      </c>
      <c r="G56" s="7">
        <f t="shared" ref="G56:G65" si="47">SUM(E56*E56*D56*F56*330/800000)</f>
        <v>6.6</v>
      </c>
      <c r="H56" s="8">
        <v>16.399999999999999</v>
      </c>
      <c r="I56" s="8">
        <v>4050</v>
      </c>
      <c r="J56" s="9">
        <f t="shared" si="44"/>
        <v>26730</v>
      </c>
      <c r="K56" s="5">
        <f t="shared" si="45"/>
        <v>4920</v>
      </c>
      <c r="L56" s="6">
        <f t="shared" ref="L56:L65" si="48">SUM(G56*100)</f>
        <v>660</v>
      </c>
      <c r="M56" s="6">
        <f t="shared" ref="M56:M65" si="49">SUM(J56+L56)</f>
        <v>27390</v>
      </c>
      <c r="N56" s="9">
        <f t="shared" ref="N56:N65" si="50">SUM(M56+K56)</f>
        <v>32310</v>
      </c>
      <c r="O56" s="9">
        <f t="shared" ref="O56:O65" si="51">N56+(N56*4.1%)</f>
        <v>33634.71</v>
      </c>
      <c r="P56" s="9">
        <f t="shared" ref="P56:P65" si="52">SUM(O56/300)</f>
        <v>112.1157</v>
      </c>
      <c r="Q56" s="6">
        <f t="shared" ref="Q56:Q65" si="53">O56+(O56*5%)</f>
        <v>35316.445500000002</v>
      </c>
      <c r="R56" s="10">
        <f t="shared" ref="R56:R65" si="54">SUM(Q56/300)</f>
        <v>117.721485</v>
      </c>
    </row>
    <row r="57" spans="1:18" ht="15.75" x14ac:dyDescent="0.3">
      <c r="A57" s="11">
        <v>3</v>
      </c>
      <c r="B57" s="8">
        <v>4</v>
      </c>
      <c r="C57" s="6">
        <f t="shared" si="46"/>
        <v>3.0419999999999998</v>
      </c>
      <c r="D57" s="8">
        <v>60</v>
      </c>
      <c r="E57" s="8">
        <v>10</v>
      </c>
      <c r="F57" s="8">
        <v>4</v>
      </c>
      <c r="G57" s="7">
        <f t="shared" si="47"/>
        <v>9.9</v>
      </c>
      <c r="H57" s="8">
        <v>22.5</v>
      </c>
      <c r="I57" s="8">
        <v>4050</v>
      </c>
      <c r="J57" s="9">
        <f t="shared" si="44"/>
        <v>40095</v>
      </c>
      <c r="K57" s="5">
        <f t="shared" si="45"/>
        <v>6750</v>
      </c>
      <c r="L57" s="6">
        <f t="shared" si="48"/>
        <v>990</v>
      </c>
      <c r="M57" s="6">
        <f t="shared" si="49"/>
        <v>41085</v>
      </c>
      <c r="N57" s="9">
        <f t="shared" si="50"/>
        <v>47835</v>
      </c>
      <c r="O57" s="9">
        <f t="shared" si="51"/>
        <v>49796.235000000001</v>
      </c>
      <c r="P57" s="9">
        <f t="shared" si="52"/>
        <v>165.98745</v>
      </c>
      <c r="Q57" s="6">
        <f t="shared" si="53"/>
        <v>52286.046750000001</v>
      </c>
      <c r="R57" s="10">
        <f t="shared" si="54"/>
        <v>174.2868225</v>
      </c>
    </row>
    <row r="58" spans="1:18" ht="15.75" x14ac:dyDescent="0.3">
      <c r="A58" s="11">
        <v>4</v>
      </c>
      <c r="B58" s="8">
        <v>6</v>
      </c>
      <c r="C58" s="6">
        <f t="shared" si="46"/>
        <v>5.07</v>
      </c>
      <c r="D58" s="8">
        <v>100</v>
      </c>
      <c r="E58" s="8">
        <v>10</v>
      </c>
      <c r="F58" s="8">
        <v>4</v>
      </c>
      <c r="G58" s="7">
        <f t="shared" si="47"/>
        <v>16.5</v>
      </c>
      <c r="H58" s="8">
        <v>26</v>
      </c>
      <c r="I58" s="8">
        <v>4050</v>
      </c>
      <c r="J58" s="9">
        <f t="shared" si="44"/>
        <v>66825</v>
      </c>
      <c r="K58" s="5">
        <f t="shared" si="45"/>
        <v>7800</v>
      </c>
      <c r="L58" s="6">
        <f t="shared" si="48"/>
        <v>1650</v>
      </c>
      <c r="M58" s="6">
        <f t="shared" si="49"/>
        <v>68475</v>
      </c>
      <c r="N58" s="9">
        <f t="shared" si="50"/>
        <v>76275</v>
      </c>
      <c r="O58" s="9">
        <f t="shared" si="51"/>
        <v>79402.274999999994</v>
      </c>
      <c r="P58" s="9">
        <f t="shared" si="52"/>
        <v>264.67424999999997</v>
      </c>
      <c r="Q58" s="6">
        <f t="shared" si="53"/>
        <v>83372.388749999998</v>
      </c>
      <c r="R58" s="10">
        <f t="shared" si="54"/>
        <v>277.9079625</v>
      </c>
    </row>
    <row r="59" spans="1:18" ht="15.75" x14ac:dyDescent="0.3">
      <c r="A59" s="11">
        <v>5</v>
      </c>
      <c r="B59" s="10">
        <v>10</v>
      </c>
      <c r="C59" s="6">
        <f t="shared" si="46"/>
        <v>9.1259999999999994</v>
      </c>
      <c r="D59" s="10">
        <v>180</v>
      </c>
      <c r="E59" s="10">
        <v>10</v>
      </c>
      <c r="F59" s="8">
        <v>4</v>
      </c>
      <c r="G59" s="7">
        <f t="shared" si="47"/>
        <v>29.7</v>
      </c>
      <c r="H59" s="10">
        <v>31.6</v>
      </c>
      <c r="I59" s="8">
        <v>4050</v>
      </c>
      <c r="J59" s="9">
        <f t="shared" si="44"/>
        <v>120285</v>
      </c>
      <c r="K59" s="5">
        <f t="shared" si="45"/>
        <v>9480</v>
      </c>
      <c r="L59" s="6">
        <f t="shared" si="48"/>
        <v>2970</v>
      </c>
      <c r="M59" s="6">
        <f t="shared" si="49"/>
        <v>123255</v>
      </c>
      <c r="N59" s="9">
        <f t="shared" si="50"/>
        <v>132735</v>
      </c>
      <c r="O59" s="9">
        <f t="shared" si="51"/>
        <v>138177.13500000001</v>
      </c>
      <c r="P59" s="9">
        <f t="shared" si="52"/>
        <v>460.59045000000003</v>
      </c>
      <c r="Q59" s="6">
        <f t="shared" si="53"/>
        <v>145085.99175000002</v>
      </c>
      <c r="R59" s="10">
        <f t="shared" si="54"/>
        <v>483.61997250000007</v>
      </c>
    </row>
    <row r="60" spans="1:18" ht="15.75" x14ac:dyDescent="0.3">
      <c r="A60" s="11">
        <v>6</v>
      </c>
      <c r="B60" s="10">
        <v>16</v>
      </c>
      <c r="C60" s="6">
        <f t="shared" si="46"/>
        <v>14.196</v>
      </c>
      <c r="D60" s="10">
        <v>280</v>
      </c>
      <c r="E60" s="10">
        <v>10</v>
      </c>
      <c r="F60" s="8">
        <v>4</v>
      </c>
      <c r="G60" s="7">
        <f t="shared" si="47"/>
        <v>46.2</v>
      </c>
      <c r="H60" s="10">
        <v>41</v>
      </c>
      <c r="I60" s="8">
        <v>4050</v>
      </c>
      <c r="J60" s="9">
        <f t="shared" si="44"/>
        <v>187110</v>
      </c>
      <c r="K60" s="5">
        <f t="shared" si="45"/>
        <v>12300</v>
      </c>
      <c r="L60" s="6">
        <f t="shared" si="48"/>
        <v>4620</v>
      </c>
      <c r="M60" s="6">
        <f t="shared" si="49"/>
        <v>191730</v>
      </c>
      <c r="N60" s="9">
        <f t="shared" si="50"/>
        <v>204030</v>
      </c>
      <c r="O60" s="9">
        <f t="shared" si="51"/>
        <v>212395.23</v>
      </c>
      <c r="P60" s="9">
        <f t="shared" si="52"/>
        <v>707.98410000000001</v>
      </c>
      <c r="Q60" s="6">
        <f t="shared" si="53"/>
        <v>223014.9915</v>
      </c>
      <c r="R60" s="10">
        <f t="shared" si="54"/>
        <v>743.38330500000006</v>
      </c>
    </row>
    <row r="61" spans="1:18" ht="15.75" x14ac:dyDescent="0.3">
      <c r="A61" s="11">
        <v>7</v>
      </c>
      <c r="B61" s="10">
        <v>25</v>
      </c>
      <c r="C61" s="6">
        <f t="shared" si="46"/>
        <v>19.874400000000001</v>
      </c>
      <c r="D61" s="10">
        <v>200</v>
      </c>
      <c r="E61" s="10">
        <v>14</v>
      </c>
      <c r="F61" s="8">
        <v>4</v>
      </c>
      <c r="G61" s="7">
        <f t="shared" si="47"/>
        <v>64.680000000000007</v>
      </c>
      <c r="H61" s="10"/>
      <c r="I61" s="8">
        <v>4050</v>
      </c>
      <c r="J61" s="9">
        <f t="shared" si="44"/>
        <v>261954.00000000003</v>
      </c>
      <c r="K61" s="5">
        <f t="shared" si="45"/>
        <v>0</v>
      </c>
      <c r="L61" s="6">
        <f t="shared" si="48"/>
        <v>6468.0000000000009</v>
      </c>
      <c r="M61" s="6">
        <f t="shared" si="49"/>
        <v>268422.00000000006</v>
      </c>
      <c r="N61" s="9">
        <f t="shared" si="50"/>
        <v>268422.00000000006</v>
      </c>
      <c r="O61" s="9">
        <f t="shared" si="51"/>
        <v>279427.30200000008</v>
      </c>
      <c r="P61" s="9">
        <f t="shared" si="52"/>
        <v>931.42434000000026</v>
      </c>
      <c r="Q61" s="6">
        <f t="shared" si="53"/>
        <v>293398.66710000008</v>
      </c>
      <c r="R61" s="10">
        <f t="shared" si="54"/>
        <v>977.9955570000003</v>
      </c>
    </row>
    <row r="62" spans="1:18" ht="15.75" x14ac:dyDescent="0.3">
      <c r="A62" s="11">
        <v>8</v>
      </c>
      <c r="B62" s="10">
        <v>35</v>
      </c>
      <c r="C62" s="6">
        <f t="shared" si="46"/>
        <v>29.811599999999999</v>
      </c>
      <c r="D62" s="10">
        <v>300</v>
      </c>
      <c r="E62" s="10">
        <v>14</v>
      </c>
      <c r="F62" s="8">
        <v>4</v>
      </c>
      <c r="G62" s="7">
        <f t="shared" si="47"/>
        <v>97.02</v>
      </c>
      <c r="H62" s="10"/>
      <c r="I62" s="8">
        <v>4050</v>
      </c>
      <c r="J62" s="9">
        <f t="shared" si="44"/>
        <v>392931</v>
      </c>
      <c r="K62" s="5">
        <f t="shared" si="45"/>
        <v>0</v>
      </c>
      <c r="L62" s="6">
        <f t="shared" si="48"/>
        <v>9702</v>
      </c>
      <c r="M62" s="6">
        <f t="shared" si="49"/>
        <v>402633</v>
      </c>
      <c r="N62" s="9">
        <f t="shared" si="50"/>
        <v>402633</v>
      </c>
      <c r="O62" s="9">
        <f t="shared" si="51"/>
        <v>419140.95299999998</v>
      </c>
      <c r="P62" s="9">
        <f t="shared" si="52"/>
        <v>1397.13651</v>
      </c>
      <c r="Q62" s="6">
        <f t="shared" si="53"/>
        <v>440098.00065</v>
      </c>
      <c r="R62" s="10">
        <f t="shared" si="54"/>
        <v>1466.9933355000001</v>
      </c>
    </row>
    <row r="63" spans="1:18" ht="15.75" x14ac:dyDescent="0.3">
      <c r="A63" s="11">
        <v>9</v>
      </c>
      <c r="B63" s="10">
        <v>50</v>
      </c>
      <c r="C63" s="6">
        <f t="shared" si="46"/>
        <v>39.748800000000003</v>
      </c>
      <c r="D63" s="10">
        <v>400</v>
      </c>
      <c r="E63" s="10">
        <v>14</v>
      </c>
      <c r="F63" s="8">
        <v>4</v>
      </c>
      <c r="G63" s="7">
        <f t="shared" si="47"/>
        <v>129.36000000000001</v>
      </c>
      <c r="H63" s="10"/>
      <c r="I63" s="8">
        <v>4050</v>
      </c>
      <c r="J63" s="9">
        <f t="shared" si="44"/>
        <v>523908.00000000006</v>
      </c>
      <c r="K63" s="5">
        <f t="shared" si="45"/>
        <v>0</v>
      </c>
      <c r="L63" s="6">
        <f t="shared" si="48"/>
        <v>12936.000000000002</v>
      </c>
      <c r="M63" s="6">
        <f t="shared" si="49"/>
        <v>536844.00000000012</v>
      </c>
      <c r="N63" s="9">
        <f t="shared" si="50"/>
        <v>536844.00000000012</v>
      </c>
      <c r="O63" s="9">
        <f t="shared" si="51"/>
        <v>558854.60400000017</v>
      </c>
      <c r="P63" s="9">
        <f t="shared" si="52"/>
        <v>1862.8486800000005</v>
      </c>
      <c r="Q63" s="6">
        <f t="shared" si="53"/>
        <v>586797.33420000016</v>
      </c>
      <c r="R63" s="10">
        <f t="shared" si="54"/>
        <v>1955.9911140000006</v>
      </c>
    </row>
    <row r="64" spans="1:18" ht="15.75" x14ac:dyDescent="0.3">
      <c r="A64" s="11">
        <v>10</v>
      </c>
      <c r="B64" s="10">
        <v>70</v>
      </c>
      <c r="C64" s="6">
        <f t="shared" si="46"/>
        <v>59.623199999999997</v>
      </c>
      <c r="D64" s="10">
        <v>600</v>
      </c>
      <c r="E64" s="10">
        <v>14</v>
      </c>
      <c r="F64" s="8">
        <v>4</v>
      </c>
      <c r="G64" s="7">
        <f t="shared" si="47"/>
        <v>194.04</v>
      </c>
      <c r="H64" s="10"/>
      <c r="I64" s="8">
        <v>4050</v>
      </c>
      <c r="J64" s="9">
        <f t="shared" si="44"/>
        <v>785862</v>
      </c>
      <c r="K64" s="5">
        <f t="shared" si="45"/>
        <v>0</v>
      </c>
      <c r="L64" s="6">
        <f t="shared" si="48"/>
        <v>19404</v>
      </c>
      <c r="M64" s="6">
        <f t="shared" si="49"/>
        <v>805266</v>
      </c>
      <c r="N64" s="9">
        <f t="shared" si="50"/>
        <v>805266</v>
      </c>
      <c r="O64" s="9">
        <f t="shared" si="51"/>
        <v>838281.90599999996</v>
      </c>
      <c r="P64" s="9">
        <f t="shared" si="52"/>
        <v>2794.2730200000001</v>
      </c>
      <c r="Q64" s="6">
        <f t="shared" si="53"/>
        <v>880196.0013</v>
      </c>
      <c r="R64" s="10">
        <f t="shared" si="54"/>
        <v>2933.9866710000001</v>
      </c>
    </row>
    <row r="65" spans="1:18" ht="15.75" x14ac:dyDescent="0.3">
      <c r="A65" s="11">
        <v>11</v>
      </c>
      <c r="B65" s="10">
        <v>95</v>
      </c>
      <c r="C65" s="6">
        <f t="shared" si="46"/>
        <v>79.497600000000006</v>
      </c>
      <c r="D65" s="10">
        <v>800</v>
      </c>
      <c r="E65" s="10">
        <v>14</v>
      </c>
      <c r="F65" s="8">
        <v>4</v>
      </c>
      <c r="G65" s="7">
        <f t="shared" si="47"/>
        <v>258.72000000000003</v>
      </c>
      <c r="H65" s="10"/>
      <c r="I65" s="8">
        <v>4050</v>
      </c>
      <c r="J65" s="9">
        <f t="shared" si="44"/>
        <v>1047816.0000000001</v>
      </c>
      <c r="K65" s="5">
        <f t="shared" si="45"/>
        <v>0</v>
      </c>
      <c r="L65" s="6">
        <f t="shared" si="48"/>
        <v>25872.000000000004</v>
      </c>
      <c r="M65" s="6">
        <f t="shared" si="49"/>
        <v>1073688.0000000002</v>
      </c>
      <c r="N65" s="9">
        <f t="shared" si="50"/>
        <v>1073688.0000000002</v>
      </c>
      <c r="O65" s="9">
        <f t="shared" si="51"/>
        <v>1117709.2080000003</v>
      </c>
      <c r="P65" s="9">
        <f t="shared" si="52"/>
        <v>3725.697360000001</v>
      </c>
      <c r="Q65" s="6">
        <f t="shared" si="53"/>
        <v>1173594.6684000003</v>
      </c>
      <c r="R65" s="10">
        <f t="shared" si="54"/>
        <v>3911.9822280000012</v>
      </c>
    </row>
    <row r="66" spans="1:18" ht="31.5" x14ac:dyDescent="0.5">
      <c r="A66" s="12" t="s">
        <v>23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 spans="1:18" ht="40.5" x14ac:dyDescent="0.3">
      <c r="A67" s="1" t="s">
        <v>0</v>
      </c>
      <c r="B67" s="2" t="s">
        <v>1</v>
      </c>
      <c r="C67" s="2" t="s">
        <v>2</v>
      </c>
      <c r="D67" s="2" t="s">
        <v>3</v>
      </c>
      <c r="E67" s="2" t="s">
        <v>4</v>
      </c>
      <c r="F67" s="2" t="s">
        <v>5</v>
      </c>
      <c r="G67" s="3" t="s">
        <v>6</v>
      </c>
      <c r="H67" s="2" t="s">
        <v>7</v>
      </c>
      <c r="I67" s="2" t="s">
        <v>8</v>
      </c>
      <c r="J67" s="2" t="s">
        <v>9</v>
      </c>
      <c r="K67" s="2" t="s">
        <v>10</v>
      </c>
      <c r="L67" s="4" t="s">
        <v>11</v>
      </c>
      <c r="M67" s="4" t="s">
        <v>12</v>
      </c>
      <c r="N67" s="2" t="s">
        <v>13</v>
      </c>
      <c r="O67" s="2" t="s">
        <v>14</v>
      </c>
      <c r="P67" s="2" t="s">
        <v>15</v>
      </c>
      <c r="Q67" s="2" t="s">
        <v>16</v>
      </c>
      <c r="R67" s="2" t="s">
        <v>17</v>
      </c>
    </row>
    <row r="68" spans="1:18" x14ac:dyDescent="0.25">
      <c r="A68" s="11">
        <v>1</v>
      </c>
      <c r="B68" s="8">
        <v>1.5</v>
      </c>
      <c r="C68" s="13">
        <f>SUM(E68*E68*D68*507/1000000)</f>
        <v>0.95062500000000005</v>
      </c>
      <c r="D68" s="10">
        <v>3</v>
      </c>
      <c r="E68" s="10">
        <v>25</v>
      </c>
      <c r="F68" s="10">
        <v>4</v>
      </c>
      <c r="G68" s="13">
        <f>SUM(E68*E68*D68*F68*330/800000)</f>
        <v>3.09375</v>
      </c>
      <c r="H68" s="14">
        <v>13.2</v>
      </c>
      <c r="I68" s="15">
        <v>4050</v>
      </c>
      <c r="J68" s="13">
        <f t="shared" ref="J68:J78" si="55">SUM(G68*I68)</f>
        <v>12529.6875</v>
      </c>
      <c r="K68" s="16">
        <f t="shared" ref="K68:K78" si="56">SUM(H68*300)</f>
        <v>3960</v>
      </c>
      <c r="L68" s="13">
        <f>SUM(G68*50)</f>
        <v>154.6875</v>
      </c>
      <c r="M68" s="13">
        <f>SUM(J68+L68)</f>
        <v>12684.375</v>
      </c>
      <c r="N68" s="13">
        <f>SUM(M68+K68)</f>
        <v>16644.375</v>
      </c>
      <c r="O68" s="13">
        <f>N68+(N68*4.1%)</f>
        <v>17326.794375000001</v>
      </c>
      <c r="P68" s="13">
        <f>SUM(O68/300)</f>
        <v>57.755981250000005</v>
      </c>
      <c r="Q68" s="13">
        <f>O68+(O68*5%)</f>
        <v>18193.134093750003</v>
      </c>
      <c r="R68" s="10">
        <f>SUM(Q68/300)</f>
        <v>60.643780312500006</v>
      </c>
    </row>
    <row r="69" spans="1:18" x14ac:dyDescent="0.25">
      <c r="A69" s="11">
        <v>2</v>
      </c>
      <c r="B69" s="8">
        <v>2.5</v>
      </c>
      <c r="C69" s="13">
        <f t="shared" ref="C69:C78" si="57">SUM(E69*E69*D69*507/1000000)</f>
        <v>2.2181250000000001</v>
      </c>
      <c r="D69" s="10">
        <v>7</v>
      </c>
      <c r="E69" s="10">
        <v>25</v>
      </c>
      <c r="F69" s="10">
        <v>4</v>
      </c>
      <c r="G69" s="13">
        <f t="shared" ref="G69:G78" si="58">SUM(E69*E69*D69*F69*330/800000)</f>
        <v>7.21875</v>
      </c>
      <c r="H69" s="14">
        <v>16.399999999999999</v>
      </c>
      <c r="I69" s="15">
        <v>4050</v>
      </c>
      <c r="J69" s="13">
        <f t="shared" si="55"/>
        <v>29235.9375</v>
      </c>
      <c r="K69" s="16">
        <f t="shared" si="56"/>
        <v>4920</v>
      </c>
      <c r="L69" s="13">
        <f t="shared" ref="L69:L78" si="59">SUM(G69*50)</f>
        <v>360.9375</v>
      </c>
      <c r="M69" s="13">
        <f t="shared" ref="M69:M78" si="60">SUM(J69+L69)</f>
        <v>29596.875</v>
      </c>
      <c r="N69" s="13">
        <f t="shared" ref="N69:N78" si="61">SUM(M69+K69)</f>
        <v>34516.875</v>
      </c>
      <c r="O69" s="13">
        <f t="shared" ref="O69:O78" si="62">N69+(N69*4.1%)</f>
        <v>35932.066874999997</v>
      </c>
      <c r="P69" s="13">
        <f t="shared" ref="P69:P78" si="63">SUM(O69/300)</f>
        <v>119.77355624999998</v>
      </c>
      <c r="Q69" s="13">
        <f t="shared" ref="Q69:Q78" si="64">O69+(O69*5%)</f>
        <v>37728.670218749998</v>
      </c>
      <c r="R69" s="10">
        <f t="shared" ref="R69:R78" si="65">SUM(Q69/300)</f>
        <v>125.7622340625</v>
      </c>
    </row>
    <row r="70" spans="1:18" x14ac:dyDescent="0.25">
      <c r="A70" s="11">
        <v>3</v>
      </c>
      <c r="B70" s="8">
        <v>4</v>
      </c>
      <c r="C70" s="13">
        <f t="shared" si="57"/>
        <v>3.1941000000000002</v>
      </c>
      <c r="D70" s="10">
        <v>7</v>
      </c>
      <c r="E70" s="10">
        <v>30</v>
      </c>
      <c r="F70" s="10">
        <v>4</v>
      </c>
      <c r="G70" s="13">
        <f t="shared" si="58"/>
        <v>10.395</v>
      </c>
      <c r="H70" s="14">
        <v>22.5</v>
      </c>
      <c r="I70" s="15">
        <v>4050</v>
      </c>
      <c r="J70" s="13">
        <f t="shared" si="55"/>
        <v>42099.75</v>
      </c>
      <c r="K70" s="16">
        <f t="shared" si="56"/>
        <v>6750</v>
      </c>
      <c r="L70" s="13">
        <f t="shared" si="59"/>
        <v>519.75</v>
      </c>
      <c r="M70" s="13">
        <f t="shared" si="60"/>
        <v>42619.5</v>
      </c>
      <c r="N70" s="13">
        <f t="shared" si="61"/>
        <v>49369.5</v>
      </c>
      <c r="O70" s="13">
        <f t="shared" si="62"/>
        <v>51393.6495</v>
      </c>
      <c r="P70" s="13">
        <f t="shared" si="63"/>
        <v>171.31216499999999</v>
      </c>
      <c r="Q70" s="13">
        <f t="shared" si="64"/>
        <v>53963.331975000001</v>
      </c>
      <c r="R70" s="10">
        <f t="shared" si="65"/>
        <v>179.87777324999999</v>
      </c>
    </row>
    <row r="71" spans="1:18" x14ac:dyDescent="0.25">
      <c r="A71" s="11">
        <v>4</v>
      </c>
      <c r="B71" s="8">
        <v>6</v>
      </c>
      <c r="C71" s="13">
        <f t="shared" si="57"/>
        <v>5.1247559999999996</v>
      </c>
      <c r="D71" s="10">
        <v>7</v>
      </c>
      <c r="E71" s="10">
        <v>38</v>
      </c>
      <c r="F71" s="10">
        <v>4</v>
      </c>
      <c r="G71" s="13">
        <f t="shared" si="58"/>
        <v>16.6782</v>
      </c>
      <c r="H71" s="14">
        <v>26</v>
      </c>
      <c r="I71" s="15">
        <v>4050</v>
      </c>
      <c r="J71" s="13">
        <f t="shared" si="55"/>
        <v>67546.710000000006</v>
      </c>
      <c r="K71" s="16">
        <f t="shared" si="56"/>
        <v>7800</v>
      </c>
      <c r="L71" s="13">
        <f t="shared" si="59"/>
        <v>833.91</v>
      </c>
      <c r="M71" s="13">
        <f t="shared" si="60"/>
        <v>68380.62000000001</v>
      </c>
      <c r="N71" s="13">
        <f t="shared" si="61"/>
        <v>76180.62000000001</v>
      </c>
      <c r="O71" s="13">
        <f t="shared" si="62"/>
        <v>79304.025420000005</v>
      </c>
      <c r="P71" s="13">
        <f t="shared" si="63"/>
        <v>264.34675140000002</v>
      </c>
      <c r="Q71" s="13">
        <f t="shared" si="64"/>
        <v>83269.226691000003</v>
      </c>
      <c r="R71" s="10">
        <f t="shared" si="65"/>
        <v>277.56408897</v>
      </c>
    </row>
    <row r="72" spans="1:18" x14ac:dyDescent="0.25">
      <c r="A72" s="11">
        <v>5</v>
      </c>
      <c r="B72" s="10">
        <v>10</v>
      </c>
      <c r="C72" s="13">
        <f t="shared" si="57"/>
        <v>7.509684</v>
      </c>
      <c r="D72" s="10">
        <v>7</v>
      </c>
      <c r="E72" s="10">
        <v>46</v>
      </c>
      <c r="F72" s="10">
        <v>4</v>
      </c>
      <c r="G72" s="13">
        <f t="shared" si="58"/>
        <v>24.439800000000002</v>
      </c>
      <c r="H72" s="10">
        <v>31.6</v>
      </c>
      <c r="I72" s="15">
        <v>4050</v>
      </c>
      <c r="J72" s="13">
        <f t="shared" si="55"/>
        <v>98981.19</v>
      </c>
      <c r="K72" s="16">
        <f t="shared" si="56"/>
        <v>9480</v>
      </c>
      <c r="L72" s="13">
        <f t="shared" si="59"/>
        <v>1221.99</v>
      </c>
      <c r="M72" s="13">
        <f t="shared" si="60"/>
        <v>100203.18000000001</v>
      </c>
      <c r="N72" s="13">
        <f t="shared" si="61"/>
        <v>109683.18000000001</v>
      </c>
      <c r="O72" s="13">
        <f t="shared" si="62"/>
        <v>114180.19038000001</v>
      </c>
      <c r="P72" s="13">
        <f t="shared" si="63"/>
        <v>380.60063460000003</v>
      </c>
      <c r="Q72" s="13">
        <f t="shared" si="64"/>
        <v>119889.19989900001</v>
      </c>
      <c r="R72" s="10">
        <f t="shared" si="65"/>
        <v>399.63066633000005</v>
      </c>
    </row>
    <row r="73" spans="1:18" x14ac:dyDescent="0.25">
      <c r="A73" s="11">
        <v>6</v>
      </c>
      <c r="B73" s="10">
        <v>16</v>
      </c>
      <c r="C73" s="13">
        <f t="shared" si="57"/>
        <v>12.776400000000001</v>
      </c>
      <c r="D73" s="10">
        <v>7</v>
      </c>
      <c r="E73" s="10">
        <v>60</v>
      </c>
      <c r="F73" s="10">
        <v>4</v>
      </c>
      <c r="G73" s="13">
        <f t="shared" si="58"/>
        <v>41.58</v>
      </c>
      <c r="H73" s="10">
        <v>41</v>
      </c>
      <c r="I73" s="15">
        <v>4050</v>
      </c>
      <c r="J73" s="13">
        <f t="shared" si="55"/>
        <v>168399</v>
      </c>
      <c r="K73" s="16">
        <f t="shared" si="56"/>
        <v>12300</v>
      </c>
      <c r="L73" s="13">
        <f t="shared" si="59"/>
        <v>2079</v>
      </c>
      <c r="M73" s="13">
        <f t="shared" si="60"/>
        <v>170478</v>
      </c>
      <c r="N73" s="13">
        <f t="shared" si="61"/>
        <v>182778</v>
      </c>
      <c r="O73" s="13">
        <f t="shared" si="62"/>
        <v>190271.89799999999</v>
      </c>
      <c r="P73" s="13">
        <f t="shared" si="63"/>
        <v>634.23965999999996</v>
      </c>
      <c r="Q73" s="13">
        <f t="shared" si="64"/>
        <v>199785.49289999998</v>
      </c>
      <c r="R73" s="10">
        <f t="shared" si="65"/>
        <v>665.95164299999999</v>
      </c>
    </row>
    <row r="74" spans="1:18" x14ac:dyDescent="0.25">
      <c r="A74" s="11">
        <v>7</v>
      </c>
      <c r="B74" s="10">
        <v>25</v>
      </c>
      <c r="C74" s="13">
        <f t="shared" si="57"/>
        <v>24.0825</v>
      </c>
      <c r="D74" s="10">
        <v>19</v>
      </c>
      <c r="E74" s="10">
        <v>50</v>
      </c>
      <c r="F74" s="10">
        <v>4</v>
      </c>
      <c r="G74" s="13">
        <f t="shared" si="58"/>
        <v>78.375</v>
      </c>
      <c r="H74" s="10"/>
      <c r="I74" s="15">
        <v>4050</v>
      </c>
      <c r="J74" s="13">
        <f t="shared" si="55"/>
        <v>317418.75</v>
      </c>
      <c r="K74" s="16">
        <f t="shared" si="56"/>
        <v>0</v>
      </c>
      <c r="L74" s="13">
        <f t="shared" si="59"/>
        <v>3918.75</v>
      </c>
      <c r="M74" s="13">
        <f t="shared" si="60"/>
        <v>321337.5</v>
      </c>
      <c r="N74" s="13">
        <f t="shared" si="61"/>
        <v>321337.5</v>
      </c>
      <c r="O74" s="13">
        <f t="shared" si="62"/>
        <v>334512.33750000002</v>
      </c>
      <c r="P74" s="13">
        <f t="shared" si="63"/>
        <v>1115.041125</v>
      </c>
      <c r="Q74" s="13">
        <f t="shared" si="64"/>
        <v>351237.95437500003</v>
      </c>
      <c r="R74" s="10">
        <f t="shared" si="65"/>
        <v>1170.7931812500001</v>
      </c>
    </row>
    <row r="75" spans="1:18" x14ac:dyDescent="0.25">
      <c r="A75" s="11">
        <v>8</v>
      </c>
      <c r="B75" s="10">
        <v>35</v>
      </c>
      <c r="C75" s="13">
        <f t="shared" si="57"/>
        <v>32.405411999999998</v>
      </c>
      <c r="D75" s="10">
        <v>19</v>
      </c>
      <c r="E75" s="10">
        <v>58</v>
      </c>
      <c r="F75" s="10">
        <v>4</v>
      </c>
      <c r="G75" s="13">
        <f t="shared" si="58"/>
        <v>105.4614</v>
      </c>
      <c r="H75" s="10"/>
      <c r="I75" s="15">
        <v>4050</v>
      </c>
      <c r="J75" s="13">
        <f t="shared" si="55"/>
        <v>427118.67</v>
      </c>
      <c r="K75" s="16">
        <f t="shared" si="56"/>
        <v>0</v>
      </c>
      <c r="L75" s="13">
        <f t="shared" si="59"/>
        <v>5273.07</v>
      </c>
      <c r="M75" s="13">
        <f t="shared" si="60"/>
        <v>432391.74</v>
      </c>
      <c r="N75" s="13">
        <f t="shared" si="61"/>
        <v>432391.74</v>
      </c>
      <c r="O75" s="13">
        <f t="shared" si="62"/>
        <v>450119.80134000001</v>
      </c>
      <c r="P75" s="13">
        <f t="shared" si="63"/>
        <v>1500.3993378</v>
      </c>
      <c r="Q75" s="13">
        <f t="shared" si="64"/>
        <v>472625.79140699998</v>
      </c>
      <c r="R75" s="10">
        <f t="shared" si="65"/>
        <v>1575.41930469</v>
      </c>
    </row>
    <row r="76" spans="1:18" x14ac:dyDescent="0.25">
      <c r="A76" s="11">
        <v>9</v>
      </c>
      <c r="B76" s="10">
        <v>50</v>
      </c>
      <c r="C76" s="13">
        <f t="shared" si="57"/>
        <v>44.542991999999998</v>
      </c>
      <c r="D76" s="10">
        <v>19</v>
      </c>
      <c r="E76" s="10">
        <v>68</v>
      </c>
      <c r="F76" s="10">
        <v>4</v>
      </c>
      <c r="G76" s="13">
        <f t="shared" si="58"/>
        <v>144.9624</v>
      </c>
      <c r="H76" s="10"/>
      <c r="I76" s="15">
        <v>4050</v>
      </c>
      <c r="J76" s="13">
        <f t="shared" si="55"/>
        <v>587097.72</v>
      </c>
      <c r="K76" s="16">
        <f t="shared" si="56"/>
        <v>0</v>
      </c>
      <c r="L76" s="13">
        <f t="shared" si="59"/>
        <v>7248.12</v>
      </c>
      <c r="M76" s="13">
        <f t="shared" si="60"/>
        <v>594345.84</v>
      </c>
      <c r="N76" s="13">
        <f t="shared" si="61"/>
        <v>594345.84</v>
      </c>
      <c r="O76" s="13">
        <f t="shared" si="62"/>
        <v>618714.01943999995</v>
      </c>
      <c r="P76" s="13">
        <f t="shared" si="63"/>
        <v>2062.3800647999997</v>
      </c>
      <c r="Q76" s="13">
        <f t="shared" si="64"/>
        <v>649649.72041199997</v>
      </c>
      <c r="R76" s="10">
        <f t="shared" si="65"/>
        <v>2165.4990680400001</v>
      </c>
    </row>
    <row r="77" spans="1:18" x14ac:dyDescent="0.25">
      <c r="A77" s="11">
        <v>10</v>
      </c>
      <c r="B77" s="10">
        <v>70</v>
      </c>
      <c r="C77" s="13">
        <f t="shared" si="57"/>
        <v>58.406399999999998</v>
      </c>
      <c r="D77" s="10">
        <v>18</v>
      </c>
      <c r="E77" s="10">
        <v>80</v>
      </c>
      <c r="F77" s="10">
        <v>4</v>
      </c>
      <c r="G77" s="13">
        <f t="shared" si="58"/>
        <v>190.08</v>
      </c>
      <c r="H77" s="10"/>
      <c r="I77" s="15">
        <v>4050</v>
      </c>
      <c r="J77" s="13">
        <f t="shared" si="55"/>
        <v>769824</v>
      </c>
      <c r="K77" s="16">
        <f t="shared" si="56"/>
        <v>0</v>
      </c>
      <c r="L77" s="13">
        <f t="shared" si="59"/>
        <v>9504</v>
      </c>
      <c r="M77" s="13">
        <f t="shared" si="60"/>
        <v>779328</v>
      </c>
      <c r="N77" s="13">
        <f t="shared" si="61"/>
        <v>779328</v>
      </c>
      <c r="O77" s="13">
        <f t="shared" si="62"/>
        <v>811280.44799999997</v>
      </c>
      <c r="P77" s="13">
        <f t="shared" si="63"/>
        <v>2704.2681600000001</v>
      </c>
      <c r="Q77" s="13">
        <f t="shared" si="64"/>
        <v>851844.47039999999</v>
      </c>
      <c r="R77" s="10">
        <f t="shared" si="65"/>
        <v>2839.4815680000002</v>
      </c>
    </row>
    <row r="78" spans="1:18" x14ac:dyDescent="0.25">
      <c r="A78" s="11">
        <v>11</v>
      </c>
      <c r="B78" s="10">
        <v>95</v>
      </c>
      <c r="C78" s="13">
        <f t="shared" si="57"/>
        <v>86.741615999999993</v>
      </c>
      <c r="D78" s="10">
        <v>37</v>
      </c>
      <c r="E78" s="10">
        <v>68</v>
      </c>
      <c r="F78" s="10">
        <v>4</v>
      </c>
      <c r="G78" s="13">
        <f t="shared" si="58"/>
        <v>282.29520000000002</v>
      </c>
      <c r="H78" s="10"/>
      <c r="I78" s="15">
        <v>4050</v>
      </c>
      <c r="J78" s="13">
        <f t="shared" si="55"/>
        <v>1143295.56</v>
      </c>
      <c r="K78" s="16">
        <f t="shared" si="56"/>
        <v>0</v>
      </c>
      <c r="L78" s="13">
        <f t="shared" si="59"/>
        <v>14114.760000000002</v>
      </c>
      <c r="M78" s="13">
        <f t="shared" si="60"/>
        <v>1157410.32</v>
      </c>
      <c r="N78" s="13">
        <f t="shared" si="61"/>
        <v>1157410.32</v>
      </c>
      <c r="O78" s="13">
        <f t="shared" si="62"/>
        <v>1204864.1431200001</v>
      </c>
      <c r="P78" s="13">
        <f t="shared" si="63"/>
        <v>4016.2138104000005</v>
      </c>
      <c r="Q78" s="13">
        <f t="shared" si="64"/>
        <v>1265107.3502760001</v>
      </c>
      <c r="R78" s="10">
        <f t="shared" si="65"/>
        <v>4217.0245009200007</v>
      </c>
    </row>
  </sheetData>
  <mergeCells count="6">
    <mergeCell ref="A14:R14"/>
    <mergeCell ref="A27:R27"/>
    <mergeCell ref="A40:R40"/>
    <mergeCell ref="A53:R53"/>
    <mergeCell ref="A66:R66"/>
    <mergeCell ref="A1:R1"/>
  </mergeCells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</dc:creator>
  <cp:lastModifiedBy>faiz</cp:lastModifiedBy>
  <cp:lastPrinted>2026-08-11T12:34:00Z</cp:lastPrinted>
  <dcterms:created xsi:type="dcterms:W3CDTF">2026-08-11T12:27:02Z</dcterms:created>
  <dcterms:modified xsi:type="dcterms:W3CDTF">2026-08-11T12:34:40Z</dcterms:modified>
</cp:coreProperties>
</file>