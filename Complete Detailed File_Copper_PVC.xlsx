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435" activeTab="2"/>
  </bookViews>
  <sheets>
    <sheet name="Flx Sheet" sheetId="1" r:id="rId1"/>
    <sheet name="STD Sheet" sheetId="2" r:id="rId2"/>
    <sheet name="Fix Sheet" sheetId="5" r:id="rId3"/>
    <sheet name="Two Gaj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5" l="1"/>
  <c r="Q3" i="5"/>
  <c r="P3" i="5"/>
  <c r="O3" i="5"/>
  <c r="N3" i="5"/>
  <c r="M3" i="5"/>
  <c r="L3" i="5"/>
  <c r="L4" i="5"/>
  <c r="K3" i="5"/>
  <c r="J3" i="5"/>
  <c r="G3" i="5"/>
  <c r="G4" i="5"/>
  <c r="G5" i="5"/>
  <c r="G6" i="5"/>
  <c r="G7" i="5"/>
  <c r="G8" i="5"/>
  <c r="G9" i="5"/>
  <c r="G10" i="5"/>
  <c r="G11" i="5"/>
  <c r="G12" i="5"/>
  <c r="G13" i="5"/>
  <c r="C4" i="5"/>
  <c r="C5" i="5"/>
  <c r="C6" i="5"/>
  <c r="C7" i="5"/>
  <c r="C8" i="5"/>
  <c r="C9" i="5"/>
  <c r="C10" i="5"/>
  <c r="C11" i="5"/>
  <c r="C12" i="5"/>
  <c r="C13" i="5"/>
  <c r="C14" i="5"/>
  <c r="C3" i="5"/>
  <c r="G44" i="5" l="1"/>
  <c r="G45" i="5"/>
  <c r="G46" i="5"/>
  <c r="G47" i="5"/>
  <c r="G48" i="5"/>
  <c r="G49" i="5"/>
  <c r="G50" i="5"/>
  <c r="G51" i="5"/>
  <c r="G52" i="5"/>
  <c r="G53" i="5"/>
  <c r="G31" i="5"/>
  <c r="G32" i="5"/>
  <c r="G33" i="5"/>
  <c r="G34" i="5"/>
  <c r="G35" i="5"/>
  <c r="G36" i="5"/>
  <c r="G37" i="5"/>
  <c r="G38" i="5"/>
  <c r="G39" i="5"/>
  <c r="G40" i="5"/>
  <c r="G18" i="5"/>
  <c r="G19" i="5"/>
  <c r="G20" i="5"/>
  <c r="G21" i="5"/>
  <c r="G22" i="5"/>
  <c r="G23" i="5"/>
  <c r="G24" i="5"/>
  <c r="G25" i="5"/>
  <c r="G26" i="5"/>
  <c r="G27" i="5"/>
  <c r="G14" i="5"/>
  <c r="K74" i="5" l="1"/>
  <c r="G56" i="5"/>
  <c r="G57" i="5"/>
  <c r="G58" i="5"/>
  <c r="G59" i="5"/>
  <c r="G60" i="5"/>
  <c r="G61" i="5"/>
  <c r="G62" i="5"/>
  <c r="G63" i="5"/>
  <c r="G64" i="5"/>
  <c r="G65" i="5"/>
  <c r="G66" i="5"/>
  <c r="G96" i="5" l="1"/>
  <c r="G97" i="5"/>
  <c r="G98" i="5"/>
  <c r="G99" i="5"/>
  <c r="G100" i="5"/>
  <c r="G101" i="5"/>
  <c r="G102" i="5"/>
  <c r="G103" i="5"/>
  <c r="G104" i="5"/>
  <c r="G105" i="5"/>
  <c r="G95" i="5"/>
  <c r="L105" i="5" l="1"/>
  <c r="K105" i="5"/>
  <c r="J105" i="5"/>
  <c r="C105" i="5"/>
  <c r="L104" i="5"/>
  <c r="K104" i="5"/>
  <c r="J104" i="5"/>
  <c r="M104" i="5" s="1"/>
  <c r="C104" i="5"/>
  <c r="K103" i="5"/>
  <c r="L103" i="5"/>
  <c r="C103" i="5"/>
  <c r="L102" i="5"/>
  <c r="K102" i="5"/>
  <c r="J102" i="5"/>
  <c r="C102" i="5"/>
  <c r="L101" i="5"/>
  <c r="K101" i="5"/>
  <c r="J101" i="5"/>
  <c r="C101" i="5"/>
  <c r="L100" i="5"/>
  <c r="K100" i="5"/>
  <c r="J100" i="5"/>
  <c r="C100" i="5"/>
  <c r="K99" i="5"/>
  <c r="L99" i="5"/>
  <c r="C99" i="5"/>
  <c r="L98" i="5"/>
  <c r="K98" i="5"/>
  <c r="J98" i="5"/>
  <c r="C98" i="5"/>
  <c r="K97" i="5"/>
  <c r="J97" i="5"/>
  <c r="C97" i="5"/>
  <c r="K96" i="5"/>
  <c r="J96" i="5"/>
  <c r="L96" i="5"/>
  <c r="C96" i="5"/>
  <c r="K95" i="5"/>
  <c r="L95" i="5"/>
  <c r="C95" i="5"/>
  <c r="K92" i="5"/>
  <c r="G92" i="5"/>
  <c r="J92" i="5" s="1"/>
  <c r="C92" i="5"/>
  <c r="K91" i="5"/>
  <c r="G91" i="5"/>
  <c r="J91" i="5" s="1"/>
  <c r="C91" i="5"/>
  <c r="K90" i="5"/>
  <c r="G90" i="5"/>
  <c r="L90" i="5" s="1"/>
  <c r="C90" i="5"/>
  <c r="K89" i="5"/>
  <c r="G89" i="5"/>
  <c r="L89" i="5" s="1"/>
  <c r="C89" i="5"/>
  <c r="K88" i="5"/>
  <c r="G88" i="5"/>
  <c r="J88" i="5" s="1"/>
  <c r="C88" i="5"/>
  <c r="K87" i="5"/>
  <c r="G87" i="5"/>
  <c r="J87" i="5" s="1"/>
  <c r="C87" i="5"/>
  <c r="K86" i="5"/>
  <c r="G86" i="5"/>
  <c r="L86" i="5" s="1"/>
  <c r="C86" i="5"/>
  <c r="K85" i="5"/>
  <c r="G85" i="5"/>
  <c r="L85" i="5" s="1"/>
  <c r="C85" i="5"/>
  <c r="K84" i="5"/>
  <c r="G84" i="5"/>
  <c r="J84" i="5" s="1"/>
  <c r="C84" i="5"/>
  <c r="K83" i="5"/>
  <c r="G83" i="5"/>
  <c r="J83" i="5" s="1"/>
  <c r="C83" i="5"/>
  <c r="K82" i="5"/>
  <c r="G82" i="5"/>
  <c r="L82" i="5" s="1"/>
  <c r="C82" i="5"/>
  <c r="K79" i="5"/>
  <c r="G79" i="5"/>
  <c r="J79" i="5" s="1"/>
  <c r="C79" i="5"/>
  <c r="L78" i="5"/>
  <c r="K78" i="5"/>
  <c r="G78" i="5"/>
  <c r="J78" i="5" s="1"/>
  <c r="C78" i="5"/>
  <c r="K77" i="5"/>
  <c r="G77" i="5"/>
  <c r="L77" i="5" s="1"/>
  <c r="C77" i="5"/>
  <c r="L76" i="5"/>
  <c r="K76" i="5"/>
  <c r="G76" i="5"/>
  <c r="J76" i="5" s="1"/>
  <c r="C76" i="5"/>
  <c r="K75" i="5"/>
  <c r="G75" i="5"/>
  <c r="J75" i="5" s="1"/>
  <c r="C75" i="5"/>
  <c r="G74" i="5"/>
  <c r="J74" i="5" s="1"/>
  <c r="C74" i="5"/>
  <c r="K73" i="5"/>
  <c r="G73" i="5"/>
  <c r="L73" i="5" s="1"/>
  <c r="C73" i="5"/>
  <c r="L72" i="5"/>
  <c r="K72" i="5"/>
  <c r="G72" i="5"/>
  <c r="J72" i="5" s="1"/>
  <c r="C72" i="5"/>
  <c r="K71" i="5"/>
  <c r="G71" i="5"/>
  <c r="J71" i="5" s="1"/>
  <c r="C71" i="5"/>
  <c r="L70" i="5"/>
  <c r="K70" i="5"/>
  <c r="G70" i="5"/>
  <c r="J70" i="5" s="1"/>
  <c r="C70" i="5"/>
  <c r="K69" i="5"/>
  <c r="G69" i="5"/>
  <c r="L69" i="5" s="1"/>
  <c r="C69" i="5"/>
  <c r="K66" i="5"/>
  <c r="L66" i="5"/>
  <c r="C66" i="5"/>
  <c r="K65" i="5"/>
  <c r="J65" i="5"/>
  <c r="C65" i="5"/>
  <c r="K64" i="5"/>
  <c r="L64" i="5"/>
  <c r="C64" i="5"/>
  <c r="K63" i="5"/>
  <c r="L63" i="5"/>
  <c r="C63" i="5"/>
  <c r="K62" i="5"/>
  <c r="L62" i="5"/>
  <c r="C62" i="5"/>
  <c r="K61" i="5"/>
  <c r="J61" i="5"/>
  <c r="C61" i="5"/>
  <c r="K60" i="5"/>
  <c r="L60" i="5"/>
  <c r="C60" i="5"/>
  <c r="K59" i="5"/>
  <c r="L59" i="5"/>
  <c r="C59" i="5"/>
  <c r="K58" i="5"/>
  <c r="L58" i="5"/>
  <c r="C58" i="5"/>
  <c r="K57" i="5"/>
  <c r="J57" i="5"/>
  <c r="C57" i="5"/>
  <c r="K56" i="5"/>
  <c r="L56" i="5"/>
  <c r="C56" i="5"/>
  <c r="K53" i="5"/>
  <c r="J53" i="5"/>
  <c r="C53" i="5"/>
  <c r="K52" i="5"/>
  <c r="J52" i="5"/>
  <c r="L52" i="5"/>
  <c r="C52" i="5"/>
  <c r="K51" i="5"/>
  <c r="L51" i="5"/>
  <c r="C51" i="5"/>
  <c r="K50" i="5"/>
  <c r="J50" i="5"/>
  <c r="C50" i="5"/>
  <c r="K49" i="5"/>
  <c r="J49" i="5"/>
  <c r="C49" i="5"/>
  <c r="L48" i="5"/>
  <c r="K48" i="5"/>
  <c r="J48" i="5"/>
  <c r="C48" i="5"/>
  <c r="K47" i="5"/>
  <c r="L47" i="5"/>
  <c r="C47" i="5"/>
  <c r="K46" i="5"/>
  <c r="J46" i="5"/>
  <c r="C46" i="5"/>
  <c r="K45" i="5"/>
  <c r="J45" i="5"/>
  <c r="C45" i="5"/>
  <c r="K44" i="5"/>
  <c r="J44" i="5"/>
  <c r="L44" i="5"/>
  <c r="C44" i="5"/>
  <c r="K43" i="5"/>
  <c r="G43" i="5"/>
  <c r="L43" i="5" s="1"/>
  <c r="C43" i="5"/>
  <c r="K40" i="5"/>
  <c r="J40" i="5"/>
  <c r="C40" i="5"/>
  <c r="L39" i="5"/>
  <c r="K39" i="5"/>
  <c r="J39" i="5"/>
  <c r="C39" i="5"/>
  <c r="L38" i="5"/>
  <c r="K38" i="5"/>
  <c r="J38" i="5"/>
  <c r="C38" i="5"/>
  <c r="K37" i="5"/>
  <c r="L37" i="5"/>
  <c r="C37" i="5"/>
  <c r="L36" i="5"/>
  <c r="K36" i="5"/>
  <c r="J36" i="5"/>
  <c r="C36" i="5"/>
  <c r="K35" i="5"/>
  <c r="J35" i="5"/>
  <c r="C35" i="5"/>
  <c r="L34" i="5"/>
  <c r="K34" i="5"/>
  <c r="J34" i="5"/>
  <c r="C34" i="5"/>
  <c r="K33" i="5"/>
  <c r="L33" i="5"/>
  <c r="C33" i="5"/>
  <c r="K32" i="5"/>
  <c r="J32" i="5"/>
  <c r="C32" i="5"/>
  <c r="K31" i="5"/>
  <c r="J31" i="5"/>
  <c r="C31" i="5"/>
  <c r="K30" i="5"/>
  <c r="G30" i="5"/>
  <c r="L30" i="5" s="1"/>
  <c r="C30" i="5"/>
  <c r="M72" i="5" l="1"/>
  <c r="L74" i="5"/>
  <c r="M74" i="5" s="1"/>
  <c r="N74" i="5" s="1"/>
  <c r="O74" i="5" s="1"/>
  <c r="M78" i="5"/>
  <c r="N78" i="5" s="1"/>
  <c r="O78" i="5" s="1"/>
  <c r="J86" i="5"/>
  <c r="M86" i="5" s="1"/>
  <c r="N86" i="5" s="1"/>
  <c r="O86" i="5" s="1"/>
  <c r="Q86" i="5" s="1"/>
  <c r="R86" i="5" s="1"/>
  <c r="M38" i="5"/>
  <c r="J43" i="5"/>
  <c r="M43" i="5" s="1"/>
  <c r="N43" i="5" s="1"/>
  <c r="O43" i="5" s="1"/>
  <c r="Q43" i="5" s="1"/>
  <c r="R43" i="5" s="1"/>
  <c r="M70" i="5"/>
  <c r="N70" i="5" s="1"/>
  <c r="O70" i="5" s="1"/>
  <c r="M76" i="5"/>
  <c r="N76" i="5" s="1"/>
  <c r="O76" i="5" s="1"/>
  <c r="N104" i="5"/>
  <c r="O104" i="5" s="1"/>
  <c r="M34" i="5"/>
  <c r="N34" i="5" s="1"/>
  <c r="O34" i="5" s="1"/>
  <c r="M36" i="5"/>
  <c r="M100" i="5"/>
  <c r="N100" i="5"/>
  <c r="O100" i="5" s="1"/>
  <c r="Q100" i="5" s="1"/>
  <c r="R100" i="5" s="1"/>
  <c r="N72" i="5"/>
  <c r="O72" i="5" s="1"/>
  <c r="M98" i="5"/>
  <c r="N98" i="5" s="1"/>
  <c r="O98" i="5" s="1"/>
  <c r="Q98" i="5" s="1"/>
  <c r="R98" i="5" s="1"/>
  <c r="M101" i="5"/>
  <c r="N101" i="5" s="1"/>
  <c r="O101" i="5" s="1"/>
  <c r="Q101" i="5" s="1"/>
  <c r="R101" i="5" s="1"/>
  <c r="M102" i="5"/>
  <c r="N102" i="5" s="1"/>
  <c r="O102" i="5" s="1"/>
  <c r="Q102" i="5" s="1"/>
  <c r="R102" i="5" s="1"/>
  <c r="M105" i="5"/>
  <c r="N105" i="5" s="1"/>
  <c r="O105" i="5" s="1"/>
  <c r="Q105" i="5" s="1"/>
  <c r="R105" i="5" s="1"/>
  <c r="L84" i="5"/>
  <c r="M84" i="5" s="1"/>
  <c r="N84" i="5" s="1"/>
  <c r="O84" i="5" s="1"/>
  <c r="J90" i="5"/>
  <c r="L92" i="5"/>
  <c r="M92" i="5" s="1"/>
  <c r="N92" i="5" s="1"/>
  <c r="O92" i="5" s="1"/>
  <c r="L88" i="5"/>
  <c r="M88" i="5" s="1"/>
  <c r="N88" i="5" s="1"/>
  <c r="O88" i="5" s="1"/>
  <c r="J82" i="5"/>
  <c r="J60" i="5"/>
  <c r="M60" i="5" s="1"/>
  <c r="N60" i="5" s="1"/>
  <c r="O60" i="5" s="1"/>
  <c r="Q60" i="5" s="1"/>
  <c r="R60" i="5" s="1"/>
  <c r="J62" i="5"/>
  <c r="M62" i="5" s="1"/>
  <c r="N62" i="5" s="1"/>
  <c r="O62" i="5" s="1"/>
  <c r="Q62" i="5" s="1"/>
  <c r="R62" i="5" s="1"/>
  <c r="J64" i="5"/>
  <c r="M64" i="5" s="1"/>
  <c r="N64" i="5" s="1"/>
  <c r="O64" i="5" s="1"/>
  <c r="Q64" i="5" s="1"/>
  <c r="R64" i="5" s="1"/>
  <c r="J66" i="5"/>
  <c r="M66" i="5" s="1"/>
  <c r="N66" i="5" s="1"/>
  <c r="O66" i="5" s="1"/>
  <c r="J58" i="5"/>
  <c r="M58" i="5" s="1"/>
  <c r="N58" i="5" s="1"/>
  <c r="O58" i="5" s="1"/>
  <c r="P58" i="5" s="1"/>
  <c r="J56" i="5"/>
  <c r="M56" i="5" s="1"/>
  <c r="N56" i="5" s="1"/>
  <c r="O56" i="5" s="1"/>
  <c r="Q56" i="5" s="1"/>
  <c r="R56" i="5" s="1"/>
  <c r="P98" i="5"/>
  <c r="M82" i="5"/>
  <c r="N82" i="5" s="1"/>
  <c r="O82" i="5" s="1"/>
  <c r="M90" i="5"/>
  <c r="N90" i="5" s="1"/>
  <c r="O90" i="5" s="1"/>
  <c r="P102" i="5"/>
  <c r="Q104" i="5"/>
  <c r="R104" i="5" s="1"/>
  <c r="P104" i="5"/>
  <c r="M96" i="5"/>
  <c r="N96" i="5" s="1"/>
  <c r="O96" i="5" s="1"/>
  <c r="L83" i="5"/>
  <c r="M83" i="5" s="1"/>
  <c r="N83" i="5" s="1"/>
  <c r="O83" i="5" s="1"/>
  <c r="J85" i="5"/>
  <c r="M85" i="5" s="1"/>
  <c r="N85" i="5" s="1"/>
  <c r="O85" i="5" s="1"/>
  <c r="L87" i="5"/>
  <c r="M87" i="5" s="1"/>
  <c r="N87" i="5" s="1"/>
  <c r="O87" i="5" s="1"/>
  <c r="J89" i="5"/>
  <c r="M89" i="5" s="1"/>
  <c r="N89" i="5" s="1"/>
  <c r="O89" i="5" s="1"/>
  <c r="L91" i="5"/>
  <c r="M91" i="5" s="1"/>
  <c r="N91" i="5" s="1"/>
  <c r="O91" i="5" s="1"/>
  <c r="J95" i="5"/>
  <c r="M95" i="5" s="1"/>
  <c r="N95" i="5" s="1"/>
  <c r="O95" i="5" s="1"/>
  <c r="L97" i="5"/>
  <c r="M97" i="5" s="1"/>
  <c r="N97" i="5" s="1"/>
  <c r="O97" i="5" s="1"/>
  <c r="J99" i="5"/>
  <c r="M99" i="5" s="1"/>
  <c r="N99" i="5" s="1"/>
  <c r="O99" i="5" s="1"/>
  <c r="J103" i="5"/>
  <c r="M103" i="5" s="1"/>
  <c r="N103" i="5" s="1"/>
  <c r="O103" i="5" s="1"/>
  <c r="P62" i="5"/>
  <c r="Q70" i="5"/>
  <c r="R70" i="5" s="1"/>
  <c r="P70" i="5"/>
  <c r="P72" i="5"/>
  <c r="Q72" i="5"/>
  <c r="R72" i="5" s="1"/>
  <c r="P76" i="5"/>
  <c r="Q76" i="5"/>
  <c r="R76" i="5" s="1"/>
  <c r="Q66" i="5"/>
  <c r="R66" i="5" s="1"/>
  <c r="P66" i="5"/>
  <c r="Q78" i="5"/>
  <c r="R78" i="5" s="1"/>
  <c r="P78" i="5"/>
  <c r="L57" i="5"/>
  <c r="M57" i="5" s="1"/>
  <c r="N57" i="5" s="1"/>
  <c r="O57" i="5" s="1"/>
  <c r="J59" i="5"/>
  <c r="M59" i="5" s="1"/>
  <c r="N59" i="5" s="1"/>
  <c r="O59" i="5" s="1"/>
  <c r="L61" i="5"/>
  <c r="M61" i="5" s="1"/>
  <c r="N61" i="5" s="1"/>
  <c r="O61" i="5" s="1"/>
  <c r="J63" i="5"/>
  <c r="M63" i="5" s="1"/>
  <c r="N63" i="5" s="1"/>
  <c r="O63" i="5" s="1"/>
  <c r="L65" i="5"/>
  <c r="M65" i="5" s="1"/>
  <c r="N65" i="5" s="1"/>
  <c r="O65" i="5" s="1"/>
  <c r="J69" i="5"/>
  <c r="M69" i="5" s="1"/>
  <c r="N69" i="5" s="1"/>
  <c r="O69" i="5" s="1"/>
  <c r="L71" i="5"/>
  <c r="M71" i="5" s="1"/>
  <c r="N71" i="5" s="1"/>
  <c r="O71" i="5" s="1"/>
  <c r="J73" i="5"/>
  <c r="M73" i="5" s="1"/>
  <c r="N73" i="5" s="1"/>
  <c r="O73" i="5" s="1"/>
  <c r="L75" i="5"/>
  <c r="M75" i="5" s="1"/>
  <c r="N75" i="5" s="1"/>
  <c r="O75" i="5" s="1"/>
  <c r="J77" i="5"/>
  <c r="M77" i="5" s="1"/>
  <c r="N77" i="5" s="1"/>
  <c r="O77" i="5" s="1"/>
  <c r="L79" i="5"/>
  <c r="M79" i="5" s="1"/>
  <c r="N79" i="5" s="1"/>
  <c r="O79" i="5" s="1"/>
  <c r="N36" i="5"/>
  <c r="O36" i="5" s="1"/>
  <c r="P36" i="5" s="1"/>
  <c r="M52" i="5"/>
  <c r="N52" i="5" s="1"/>
  <c r="O52" i="5" s="1"/>
  <c r="Q52" i="5" s="1"/>
  <c r="R52" i="5" s="1"/>
  <c r="L45" i="5"/>
  <c r="M45" i="5" s="1"/>
  <c r="N45" i="5" s="1"/>
  <c r="O45" i="5" s="1"/>
  <c r="L49" i="5"/>
  <c r="M49" i="5" s="1"/>
  <c r="N49" i="5" s="1"/>
  <c r="O49" i="5" s="1"/>
  <c r="L50" i="5"/>
  <c r="M50" i="5" s="1"/>
  <c r="N50" i="5" s="1"/>
  <c r="O50" i="5" s="1"/>
  <c r="P50" i="5" s="1"/>
  <c r="M44" i="5"/>
  <c r="N44" i="5" s="1"/>
  <c r="O44" i="5" s="1"/>
  <c r="Q44" i="5" s="1"/>
  <c r="R44" i="5" s="1"/>
  <c r="M48" i="5"/>
  <c r="N48" i="5" s="1"/>
  <c r="O48" i="5" s="1"/>
  <c r="Q48" i="5" s="1"/>
  <c r="R48" i="5" s="1"/>
  <c r="L53" i="5"/>
  <c r="M53" i="5" s="1"/>
  <c r="N53" i="5" s="1"/>
  <c r="O53" i="5" s="1"/>
  <c r="L31" i="5"/>
  <c r="M31" i="5" s="1"/>
  <c r="N31" i="5" s="1"/>
  <c r="O31" i="5" s="1"/>
  <c r="L32" i="5"/>
  <c r="M32" i="5" s="1"/>
  <c r="N32" i="5" s="1"/>
  <c r="O32" i="5" s="1"/>
  <c r="Q32" i="5" s="1"/>
  <c r="R32" i="5" s="1"/>
  <c r="L35" i="5"/>
  <c r="M35" i="5" s="1"/>
  <c r="N35" i="5" s="1"/>
  <c r="O35" i="5" s="1"/>
  <c r="N38" i="5"/>
  <c r="O38" i="5" s="1"/>
  <c r="P38" i="5" s="1"/>
  <c r="J30" i="5"/>
  <c r="M30" i="5" s="1"/>
  <c r="N30" i="5" s="1"/>
  <c r="O30" i="5" s="1"/>
  <c r="Q30" i="5" s="1"/>
  <c r="R30" i="5" s="1"/>
  <c r="Q34" i="5"/>
  <c r="R34" i="5" s="1"/>
  <c r="P34" i="5"/>
  <c r="Q38" i="5"/>
  <c r="R38" i="5" s="1"/>
  <c r="Q36" i="5"/>
  <c r="R36" i="5" s="1"/>
  <c r="J47" i="5"/>
  <c r="M47" i="5" s="1"/>
  <c r="N47" i="5" s="1"/>
  <c r="O47" i="5" s="1"/>
  <c r="J33" i="5"/>
  <c r="M33" i="5" s="1"/>
  <c r="N33" i="5" s="1"/>
  <c r="O33" i="5" s="1"/>
  <c r="M39" i="5"/>
  <c r="N39" i="5" s="1"/>
  <c r="O39" i="5" s="1"/>
  <c r="L40" i="5"/>
  <c r="M40" i="5" s="1"/>
  <c r="N40" i="5" s="1"/>
  <c r="O40" i="5" s="1"/>
  <c r="J51" i="5"/>
  <c r="M51" i="5" s="1"/>
  <c r="N51" i="5" s="1"/>
  <c r="O51" i="5" s="1"/>
  <c r="J37" i="5"/>
  <c r="M37" i="5" s="1"/>
  <c r="N37" i="5" s="1"/>
  <c r="O37" i="5" s="1"/>
  <c r="L46" i="5"/>
  <c r="M46" i="5" s="1"/>
  <c r="N46" i="5" s="1"/>
  <c r="O46" i="5" s="1"/>
  <c r="Q74" i="5" l="1"/>
  <c r="R74" i="5" s="1"/>
  <c r="P74" i="5"/>
  <c r="Q84" i="5"/>
  <c r="R84" i="5" s="1"/>
  <c r="P84" i="5"/>
  <c r="Q50" i="5"/>
  <c r="R50" i="5" s="1"/>
  <c r="P56" i="5"/>
  <c r="P52" i="5"/>
  <c r="P43" i="5"/>
  <c r="P100" i="5"/>
  <c r="P101" i="5"/>
  <c r="P86" i="5"/>
  <c r="P60" i="5"/>
  <c r="Q58" i="5"/>
  <c r="R58" i="5" s="1"/>
  <c r="P30" i="5"/>
  <c r="P105" i="5"/>
  <c r="P92" i="5"/>
  <c r="Q92" i="5"/>
  <c r="R92" i="5" s="1"/>
  <c r="Q88" i="5"/>
  <c r="R88" i="5" s="1"/>
  <c r="P88" i="5"/>
  <c r="P64" i="5"/>
  <c r="Q91" i="5"/>
  <c r="R91" i="5" s="1"/>
  <c r="P91" i="5"/>
  <c r="Q83" i="5"/>
  <c r="R83" i="5" s="1"/>
  <c r="P83" i="5"/>
  <c r="Q97" i="5"/>
  <c r="R97" i="5" s="1"/>
  <c r="P97" i="5"/>
  <c r="P89" i="5"/>
  <c r="Q89" i="5"/>
  <c r="R89" i="5" s="1"/>
  <c r="Q96" i="5"/>
  <c r="R96" i="5" s="1"/>
  <c r="P96" i="5"/>
  <c r="Q82" i="5"/>
  <c r="R82" i="5" s="1"/>
  <c r="P82" i="5"/>
  <c r="Q87" i="5"/>
  <c r="R87" i="5" s="1"/>
  <c r="P87" i="5"/>
  <c r="Q90" i="5"/>
  <c r="R90" i="5" s="1"/>
  <c r="P90" i="5"/>
  <c r="P103" i="5"/>
  <c r="Q103" i="5"/>
  <c r="R103" i="5" s="1"/>
  <c r="P99" i="5"/>
  <c r="Q99" i="5"/>
  <c r="R99" i="5" s="1"/>
  <c r="P95" i="5"/>
  <c r="Q95" i="5"/>
  <c r="R95" i="5" s="1"/>
  <c r="P85" i="5"/>
  <c r="Q85" i="5"/>
  <c r="R85" i="5" s="1"/>
  <c r="Q79" i="5"/>
  <c r="R79" i="5" s="1"/>
  <c r="P79" i="5"/>
  <c r="Q71" i="5"/>
  <c r="R71" i="5" s="1"/>
  <c r="P71" i="5"/>
  <c r="Q57" i="5"/>
  <c r="R57" i="5" s="1"/>
  <c r="P57" i="5"/>
  <c r="P73" i="5"/>
  <c r="Q73" i="5"/>
  <c r="R73" i="5" s="1"/>
  <c r="Q65" i="5"/>
  <c r="R65" i="5" s="1"/>
  <c r="P65" i="5"/>
  <c r="P77" i="5"/>
  <c r="Q77" i="5"/>
  <c r="R77" i="5" s="1"/>
  <c r="P59" i="5"/>
  <c r="Q59" i="5"/>
  <c r="R59" i="5" s="1"/>
  <c r="Q75" i="5"/>
  <c r="R75" i="5" s="1"/>
  <c r="P75" i="5"/>
  <c r="P63" i="5"/>
  <c r="Q63" i="5"/>
  <c r="R63" i="5" s="1"/>
  <c r="Q61" i="5"/>
  <c r="R61" i="5" s="1"/>
  <c r="P61" i="5"/>
  <c r="P69" i="5"/>
  <c r="Q69" i="5"/>
  <c r="R69" i="5" s="1"/>
  <c r="P44" i="5"/>
  <c r="P49" i="5"/>
  <c r="Q49" i="5"/>
  <c r="R49" i="5" s="1"/>
  <c r="Q53" i="5"/>
  <c r="R53" i="5" s="1"/>
  <c r="P53" i="5"/>
  <c r="P48" i="5"/>
  <c r="Q35" i="5"/>
  <c r="R35" i="5" s="1"/>
  <c r="P35" i="5"/>
  <c r="Q31" i="5"/>
  <c r="R31" i="5" s="1"/>
  <c r="P31" i="5"/>
  <c r="P32" i="5"/>
  <c r="Q40" i="5"/>
  <c r="R40" i="5" s="1"/>
  <c r="P40" i="5"/>
  <c r="Q46" i="5"/>
  <c r="R46" i="5" s="1"/>
  <c r="P46" i="5"/>
  <c r="Q45" i="5"/>
  <c r="R45" i="5" s="1"/>
  <c r="P45" i="5"/>
  <c r="Q39" i="5"/>
  <c r="R39" i="5" s="1"/>
  <c r="P39" i="5"/>
  <c r="P47" i="5"/>
  <c r="Q47" i="5"/>
  <c r="R47" i="5" s="1"/>
  <c r="P37" i="5"/>
  <c r="Q37" i="5"/>
  <c r="R37" i="5" s="1"/>
  <c r="P33" i="5"/>
  <c r="Q33" i="5"/>
  <c r="R33" i="5" s="1"/>
  <c r="P51" i="5"/>
  <c r="Q51" i="5"/>
  <c r="R51" i="5" s="1"/>
  <c r="R17" i="4" l="1"/>
  <c r="R13" i="4"/>
  <c r="R9" i="4"/>
  <c r="R5" i="4"/>
  <c r="C23" i="4" l="1"/>
  <c r="G23" i="4"/>
  <c r="J23" i="4" s="1"/>
  <c r="K23" i="4"/>
  <c r="L23" i="4"/>
  <c r="L25" i="4" s="1"/>
  <c r="C24" i="4"/>
  <c r="C25" i="4" s="1"/>
  <c r="G24" i="4"/>
  <c r="J24" i="4" s="1"/>
  <c r="K24" i="4"/>
  <c r="L24" i="4"/>
  <c r="G25" i="4"/>
  <c r="H25" i="4"/>
  <c r="K25" i="4" l="1"/>
  <c r="M24" i="4"/>
  <c r="N24" i="4" s="1"/>
  <c r="O24" i="4" s="1"/>
  <c r="Q24" i="4" s="1"/>
  <c r="R24" i="4" s="1"/>
  <c r="M23" i="4"/>
  <c r="J25" i="4"/>
  <c r="P24" i="4" l="1"/>
  <c r="M25" i="4"/>
  <c r="N23" i="4"/>
  <c r="L18" i="5"/>
  <c r="L19" i="5"/>
  <c r="L20" i="5"/>
  <c r="L21" i="5"/>
  <c r="L22" i="5"/>
  <c r="L23" i="5"/>
  <c r="L24" i="5"/>
  <c r="L25" i="5"/>
  <c r="L26" i="5"/>
  <c r="L27" i="5"/>
  <c r="K18" i="5"/>
  <c r="K19" i="5"/>
  <c r="K20" i="5"/>
  <c r="K21" i="5"/>
  <c r="K22" i="5"/>
  <c r="K23" i="5"/>
  <c r="K24" i="5"/>
  <c r="K25" i="5"/>
  <c r="K26" i="5"/>
  <c r="K27" i="5"/>
  <c r="J18" i="5"/>
  <c r="M18" i="5" s="1"/>
  <c r="J19" i="5"/>
  <c r="M19" i="5" s="1"/>
  <c r="J20" i="5"/>
  <c r="M20" i="5" s="1"/>
  <c r="J21" i="5"/>
  <c r="M21" i="5" s="1"/>
  <c r="J22" i="5"/>
  <c r="M22" i="5" s="1"/>
  <c r="J23" i="5"/>
  <c r="M23" i="5" s="1"/>
  <c r="J24" i="5"/>
  <c r="M24" i="5" s="1"/>
  <c r="J25" i="5"/>
  <c r="M25" i="5" s="1"/>
  <c r="J26" i="5"/>
  <c r="M26" i="5" s="1"/>
  <c r="J27" i="5"/>
  <c r="M27" i="5" s="1"/>
  <c r="C18" i="5"/>
  <c r="C19" i="5"/>
  <c r="C20" i="5"/>
  <c r="C21" i="5"/>
  <c r="C22" i="5"/>
  <c r="C23" i="5"/>
  <c r="C24" i="5"/>
  <c r="C25" i="5"/>
  <c r="C26" i="5"/>
  <c r="C27" i="5"/>
  <c r="N26" i="5" l="1"/>
  <c r="O26" i="5" s="1"/>
  <c r="Q26" i="5" s="1"/>
  <c r="R26" i="5" s="1"/>
  <c r="N22" i="5"/>
  <c r="O22" i="5" s="1"/>
  <c r="N18" i="5"/>
  <c r="O18" i="5" s="1"/>
  <c r="N25" i="5"/>
  <c r="O25" i="5" s="1"/>
  <c r="Q25" i="5" s="1"/>
  <c r="R25" i="5" s="1"/>
  <c r="N21" i="5"/>
  <c r="O21" i="5" s="1"/>
  <c r="P21" i="5" s="1"/>
  <c r="N24" i="5"/>
  <c r="O24" i="5" s="1"/>
  <c r="N20" i="5"/>
  <c r="O20" i="5" s="1"/>
  <c r="P20" i="5" s="1"/>
  <c r="N27" i="5"/>
  <c r="O27" i="5" s="1"/>
  <c r="Q27" i="5" s="1"/>
  <c r="R27" i="5" s="1"/>
  <c r="N23" i="5"/>
  <c r="O23" i="5" s="1"/>
  <c r="Q23" i="5" s="1"/>
  <c r="R23" i="5" s="1"/>
  <c r="N19" i="5"/>
  <c r="O19" i="5" s="1"/>
  <c r="O23" i="4"/>
  <c r="N25" i="4"/>
  <c r="P26" i="5"/>
  <c r="Q24" i="5"/>
  <c r="R24" i="5" s="1"/>
  <c r="P24" i="5"/>
  <c r="P23" i="5"/>
  <c r="P22" i="5"/>
  <c r="Q22" i="5"/>
  <c r="R22" i="5" s="1"/>
  <c r="Q21" i="5"/>
  <c r="R21" i="5" s="1"/>
  <c r="Q20" i="5"/>
  <c r="R20" i="5" s="1"/>
  <c r="Q19" i="5"/>
  <c r="R19" i="5" s="1"/>
  <c r="P19" i="5"/>
  <c r="P18" i="5"/>
  <c r="Q18" i="5"/>
  <c r="R18" i="5" s="1"/>
  <c r="L5" i="5"/>
  <c r="L6" i="5"/>
  <c r="L7" i="5"/>
  <c r="L10" i="5"/>
  <c r="L11" i="5"/>
  <c r="L12" i="5"/>
  <c r="L13" i="5"/>
  <c r="L14" i="5"/>
  <c r="J5" i="5"/>
  <c r="M5" i="5" s="1"/>
  <c r="J6" i="5"/>
  <c r="M6" i="5" s="1"/>
  <c r="J7" i="5"/>
  <c r="M7" i="5" s="1"/>
  <c r="J10" i="5"/>
  <c r="M10" i="5" s="1"/>
  <c r="J11" i="5"/>
  <c r="M11" i="5" s="1"/>
  <c r="J12" i="5"/>
  <c r="M12" i="5" s="1"/>
  <c r="J13" i="5"/>
  <c r="M13" i="5" s="1"/>
  <c r="J14" i="5"/>
  <c r="M14" i="5" s="1"/>
  <c r="L8" i="5"/>
  <c r="J9" i="5"/>
  <c r="N6" i="5" l="1"/>
  <c r="O6" i="5" s="1"/>
  <c r="P6" i="5" s="1"/>
  <c r="P25" i="5"/>
  <c r="P27" i="5"/>
  <c r="Q6" i="5"/>
  <c r="R6" i="5" s="1"/>
  <c r="P23" i="4"/>
  <c r="P25" i="4" s="1"/>
  <c r="Q23" i="4"/>
  <c r="O25" i="4"/>
  <c r="L9" i="5"/>
  <c r="M9" i="5" s="1"/>
  <c r="J8" i="5"/>
  <c r="M8" i="5" s="1"/>
  <c r="K5" i="5"/>
  <c r="N5" i="5" s="1"/>
  <c r="O5" i="5" s="1"/>
  <c r="K6" i="5"/>
  <c r="K7" i="5"/>
  <c r="N7" i="5" s="1"/>
  <c r="O7" i="5" s="1"/>
  <c r="K8" i="5"/>
  <c r="K9" i="5"/>
  <c r="K10" i="5"/>
  <c r="N10" i="5" s="1"/>
  <c r="O10" i="5" s="1"/>
  <c r="K11" i="5"/>
  <c r="N11" i="5" s="1"/>
  <c r="O11" i="5" s="1"/>
  <c r="K12" i="5"/>
  <c r="N12" i="5" s="1"/>
  <c r="O12" i="5" s="1"/>
  <c r="K13" i="5"/>
  <c r="N13" i="5" s="1"/>
  <c r="O13" i="5" s="1"/>
  <c r="K14" i="5"/>
  <c r="N14" i="5" s="1"/>
  <c r="O14" i="5" s="1"/>
  <c r="K17" i="5"/>
  <c r="G17" i="5"/>
  <c r="C17" i="5"/>
  <c r="K4" i="5"/>
  <c r="Q7" i="5" l="1"/>
  <c r="R7" i="5" s="1"/>
  <c r="P7" i="5"/>
  <c r="P5" i="5"/>
  <c r="Q5" i="5"/>
  <c r="R5" i="5" s="1"/>
  <c r="J17" i="5"/>
  <c r="L17" i="5"/>
  <c r="J4" i="5"/>
  <c r="Q25" i="4"/>
  <c r="R23" i="4"/>
  <c r="R25" i="4" s="1"/>
  <c r="N9" i="5"/>
  <c r="O9" i="5" s="1"/>
  <c r="Q9" i="5" s="1"/>
  <c r="R9" i="5" s="1"/>
  <c r="N8" i="5"/>
  <c r="O8" i="5" s="1"/>
  <c r="P8" i="5" s="1"/>
  <c r="Q14" i="5"/>
  <c r="R14" i="5" s="1"/>
  <c r="P14" i="5"/>
  <c r="Q13" i="5"/>
  <c r="R13" i="5" s="1"/>
  <c r="P13" i="5"/>
  <c r="Q12" i="5"/>
  <c r="R12" i="5" s="1"/>
  <c r="P12" i="5"/>
  <c r="Q11" i="5"/>
  <c r="R11" i="5" s="1"/>
  <c r="P11" i="5"/>
  <c r="Q10" i="5"/>
  <c r="R10" i="5" s="1"/>
  <c r="P10" i="5"/>
  <c r="M17" i="5"/>
  <c r="N17" i="5" s="1"/>
  <c r="O17" i="5" s="1"/>
  <c r="Q17" i="5" s="1"/>
  <c r="R17" i="5" s="1"/>
  <c r="M4" i="5"/>
  <c r="N4" i="5" s="1"/>
  <c r="O4" i="5" s="1"/>
  <c r="H9" i="4"/>
  <c r="H21" i="4"/>
  <c r="K20" i="4"/>
  <c r="G20" i="4"/>
  <c r="J20" i="4" s="1"/>
  <c r="C20" i="4"/>
  <c r="K19" i="4"/>
  <c r="G19" i="4"/>
  <c r="L19" i="4" s="1"/>
  <c r="C19" i="4"/>
  <c r="H17" i="4"/>
  <c r="K16" i="4"/>
  <c r="G16" i="4"/>
  <c r="J16" i="4" s="1"/>
  <c r="C16" i="4"/>
  <c r="K15" i="4"/>
  <c r="G15" i="4"/>
  <c r="L15" i="4" s="1"/>
  <c r="C15" i="4"/>
  <c r="H13" i="4"/>
  <c r="K12" i="4"/>
  <c r="G12" i="4"/>
  <c r="J12" i="4" s="1"/>
  <c r="C12" i="4"/>
  <c r="K11" i="4"/>
  <c r="G11" i="4"/>
  <c r="L11" i="4" s="1"/>
  <c r="C11" i="4"/>
  <c r="K8" i="4"/>
  <c r="G8" i="4"/>
  <c r="J8" i="4" s="1"/>
  <c r="C8" i="4"/>
  <c r="K7" i="4"/>
  <c r="G7" i="4"/>
  <c r="J7" i="4" s="1"/>
  <c r="C7" i="4"/>
  <c r="C17" i="4" l="1"/>
  <c r="K9" i="4"/>
  <c r="C9" i="4"/>
  <c r="L7" i="4"/>
  <c r="M7" i="4" s="1"/>
  <c r="C21" i="4"/>
  <c r="K21" i="4"/>
  <c r="Q8" i="5"/>
  <c r="R8" i="5" s="1"/>
  <c r="P9" i="5"/>
  <c r="P17" i="5"/>
  <c r="P4" i="5"/>
  <c r="Q4" i="5"/>
  <c r="R4" i="5" s="1"/>
  <c r="K13" i="4"/>
  <c r="C13" i="4"/>
  <c r="L8" i="4"/>
  <c r="G9" i="4"/>
  <c r="K17" i="4"/>
  <c r="J19" i="4"/>
  <c r="J21" i="4" s="1"/>
  <c r="G17" i="4"/>
  <c r="J15" i="4"/>
  <c r="J17" i="4" s="1"/>
  <c r="L16" i="4"/>
  <c r="M16" i="4" s="1"/>
  <c r="N16" i="4" s="1"/>
  <c r="O16" i="4" s="1"/>
  <c r="P16" i="4" s="1"/>
  <c r="J11" i="4"/>
  <c r="M11" i="4" s="1"/>
  <c r="M8" i="4"/>
  <c r="N8" i="4" s="1"/>
  <c r="O8" i="4" s="1"/>
  <c r="Q8" i="4" s="1"/>
  <c r="R8" i="4" s="1"/>
  <c r="L20" i="4"/>
  <c r="M20" i="4" s="1"/>
  <c r="N20" i="4" s="1"/>
  <c r="O20" i="4" s="1"/>
  <c r="G21" i="4"/>
  <c r="L12" i="4"/>
  <c r="L13" i="4" s="1"/>
  <c r="G13" i="4"/>
  <c r="J9" i="4"/>
  <c r="H5" i="4"/>
  <c r="L17" i="4" l="1"/>
  <c r="M19" i="4"/>
  <c r="M21" i="4" s="1"/>
  <c r="L9" i="4"/>
  <c r="M15" i="4"/>
  <c r="N15" i="4" s="1"/>
  <c r="J13" i="4"/>
  <c r="P8" i="4"/>
  <c r="Q16" i="4"/>
  <c r="R16" i="4" s="1"/>
  <c r="Q20" i="4"/>
  <c r="R20" i="4" s="1"/>
  <c r="P20" i="4"/>
  <c r="L21" i="4"/>
  <c r="M12" i="4"/>
  <c r="N12" i="4" s="1"/>
  <c r="O12" i="4" s="1"/>
  <c r="N11" i="4"/>
  <c r="N7" i="4"/>
  <c r="M9" i="4"/>
  <c r="K4" i="4"/>
  <c r="G4" i="4"/>
  <c r="J4" i="4" s="1"/>
  <c r="C4" i="4"/>
  <c r="K3" i="4"/>
  <c r="G3" i="4"/>
  <c r="L3" i="4" s="1"/>
  <c r="C3" i="4"/>
  <c r="N19" i="4" l="1"/>
  <c r="M17" i="4"/>
  <c r="M13" i="4"/>
  <c r="N21" i="4"/>
  <c r="O19" i="4"/>
  <c r="N17" i="4"/>
  <c r="O15" i="4"/>
  <c r="N13" i="4"/>
  <c r="O11" i="4"/>
  <c r="Q12" i="4"/>
  <c r="R12" i="4" s="1"/>
  <c r="P12" i="4"/>
  <c r="N9" i="4"/>
  <c r="O7" i="4"/>
  <c r="K5" i="4"/>
  <c r="C5" i="4"/>
  <c r="J3" i="4"/>
  <c r="J5" i="4" s="1"/>
  <c r="G5" i="4"/>
  <c r="L4" i="4"/>
  <c r="M4" i="4" s="1"/>
  <c r="N4" i="4" s="1"/>
  <c r="O4" i="4" s="1"/>
  <c r="Q19" i="4" l="1"/>
  <c r="P19" i="4"/>
  <c r="P21" i="4" s="1"/>
  <c r="O21" i="4"/>
  <c r="Q15" i="4"/>
  <c r="P15" i="4"/>
  <c r="P17" i="4" s="1"/>
  <c r="O17" i="4"/>
  <c r="Q11" i="4"/>
  <c r="P11" i="4"/>
  <c r="P13" i="4" s="1"/>
  <c r="O13" i="4"/>
  <c r="O9" i="4"/>
  <c r="Q7" i="4"/>
  <c r="P7" i="4"/>
  <c r="P9" i="4" s="1"/>
  <c r="M3" i="4"/>
  <c r="L5" i="4"/>
  <c r="P4" i="4"/>
  <c r="Q4" i="4"/>
  <c r="R4" i="4" s="1"/>
  <c r="Q21" i="4" l="1"/>
  <c r="R19" i="4"/>
  <c r="R21" i="4" s="1"/>
  <c r="R15" i="4"/>
  <c r="Q17" i="4"/>
  <c r="Q13" i="4"/>
  <c r="R11" i="4"/>
  <c r="R7" i="4"/>
  <c r="Q9" i="4"/>
  <c r="N3" i="4"/>
  <c r="M5" i="4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F4" i="2"/>
  <c r="I4" i="2" s="1"/>
  <c r="F5" i="2"/>
  <c r="K5" i="2" s="1"/>
  <c r="F6" i="2"/>
  <c r="K6" i="2" s="1"/>
  <c r="F7" i="2"/>
  <c r="K7" i="2" s="1"/>
  <c r="F8" i="2"/>
  <c r="K8" i="2" s="1"/>
  <c r="F9" i="2"/>
  <c r="K9" i="2" s="1"/>
  <c r="F10" i="2"/>
  <c r="K10" i="2" s="1"/>
  <c r="F11" i="2"/>
  <c r="I11" i="2" s="1"/>
  <c r="F12" i="2"/>
  <c r="I12" i="2" s="1"/>
  <c r="F13" i="2"/>
  <c r="K13" i="2" s="1"/>
  <c r="F14" i="2"/>
  <c r="K14" i="2" s="1"/>
  <c r="F15" i="2"/>
  <c r="K15" i="2" s="1"/>
  <c r="F16" i="2"/>
  <c r="K16" i="2" s="1"/>
  <c r="F17" i="2"/>
  <c r="K17" i="2" s="1"/>
  <c r="F18" i="2"/>
  <c r="K18" i="2" s="1"/>
  <c r="F19" i="2"/>
  <c r="I19" i="2" s="1"/>
  <c r="F20" i="2"/>
  <c r="I20" i="2" s="1"/>
  <c r="F21" i="2"/>
  <c r="K21" i="2" s="1"/>
  <c r="F22" i="2"/>
  <c r="K22" i="2" s="1"/>
  <c r="F23" i="2"/>
  <c r="K23" i="2" s="1"/>
  <c r="F24" i="2"/>
  <c r="K24" i="2" s="1"/>
  <c r="F25" i="2"/>
  <c r="K25" i="2" s="1"/>
  <c r="F26" i="2"/>
  <c r="K26" i="2" s="1"/>
  <c r="F27" i="2"/>
  <c r="I27" i="2" s="1"/>
  <c r="F28" i="2"/>
  <c r="I28" i="2" s="1"/>
  <c r="F29" i="2"/>
  <c r="K29" i="2" s="1"/>
  <c r="F30" i="2"/>
  <c r="K30" i="2" s="1"/>
  <c r="F31" i="2"/>
  <c r="K31" i="2" s="1"/>
  <c r="F32" i="2"/>
  <c r="K32" i="2" s="1"/>
  <c r="F33" i="2"/>
  <c r="K33" i="2" s="1"/>
  <c r="F34" i="2"/>
  <c r="K34" i="2" s="1"/>
  <c r="F35" i="2"/>
  <c r="I35" i="2" s="1"/>
  <c r="F36" i="2"/>
  <c r="I36" i="2" s="1"/>
  <c r="F37" i="2"/>
  <c r="K37" i="2" s="1"/>
  <c r="F38" i="2"/>
  <c r="K38" i="2" s="1"/>
  <c r="F39" i="2"/>
  <c r="K39" i="2" s="1"/>
  <c r="B39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L36" i="2" l="1"/>
  <c r="M36" i="2" s="1"/>
  <c r="N36" i="2" s="1"/>
  <c r="I32" i="2"/>
  <c r="L32" i="2" s="1"/>
  <c r="M32" i="2" s="1"/>
  <c r="N32" i="2" s="1"/>
  <c r="I24" i="2"/>
  <c r="L24" i="2" s="1"/>
  <c r="M24" i="2" s="1"/>
  <c r="N24" i="2" s="1"/>
  <c r="I16" i="2"/>
  <c r="L16" i="2" s="1"/>
  <c r="M16" i="2" s="1"/>
  <c r="N16" i="2" s="1"/>
  <c r="I8" i="2"/>
  <c r="L8" i="2" s="1"/>
  <c r="M8" i="2" s="1"/>
  <c r="N8" i="2" s="1"/>
  <c r="K36" i="2"/>
  <c r="K28" i="2"/>
  <c r="L28" i="2" s="1"/>
  <c r="M28" i="2" s="1"/>
  <c r="N28" i="2" s="1"/>
  <c r="K20" i="2"/>
  <c r="L20" i="2" s="1"/>
  <c r="M20" i="2" s="1"/>
  <c r="N20" i="2" s="1"/>
  <c r="K12" i="2"/>
  <c r="L12" i="2" s="1"/>
  <c r="M12" i="2" s="1"/>
  <c r="N12" i="2" s="1"/>
  <c r="K4" i="2"/>
  <c r="L4" i="2" s="1"/>
  <c r="M4" i="2" s="1"/>
  <c r="N4" i="2" s="1"/>
  <c r="I39" i="2"/>
  <c r="L39" i="2" s="1"/>
  <c r="M39" i="2" s="1"/>
  <c r="N39" i="2" s="1"/>
  <c r="I31" i="2"/>
  <c r="L31" i="2" s="1"/>
  <c r="M31" i="2" s="1"/>
  <c r="N31" i="2" s="1"/>
  <c r="I23" i="2"/>
  <c r="L23" i="2" s="1"/>
  <c r="M23" i="2" s="1"/>
  <c r="N23" i="2" s="1"/>
  <c r="I15" i="2"/>
  <c r="L15" i="2" s="1"/>
  <c r="M15" i="2" s="1"/>
  <c r="N15" i="2" s="1"/>
  <c r="I7" i="2"/>
  <c r="L7" i="2" s="1"/>
  <c r="M7" i="2" s="1"/>
  <c r="N7" i="2" s="1"/>
  <c r="K35" i="2"/>
  <c r="L35" i="2" s="1"/>
  <c r="M35" i="2" s="1"/>
  <c r="N35" i="2" s="1"/>
  <c r="K27" i="2"/>
  <c r="L27" i="2" s="1"/>
  <c r="M27" i="2" s="1"/>
  <c r="N27" i="2" s="1"/>
  <c r="K19" i="2"/>
  <c r="L19" i="2" s="1"/>
  <c r="M19" i="2" s="1"/>
  <c r="N19" i="2" s="1"/>
  <c r="K11" i="2"/>
  <c r="L11" i="2" s="1"/>
  <c r="M11" i="2" s="1"/>
  <c r="N11" i="2" s="1"/>
  <c r="I38" i="2"/>
  <c r="L38" i="2" s="1"/>
  <c r="M38" i="2" s="1"/>
  <c r="N38" i="2" s="1"/>
  <c r="I34" i="2"/>
  <c r="L34" i="2" s="1"/>
  <c r="M34" i="2" s="1"/>
  <c r="N34" i="2" s="1"/>
  <c r="I30" i="2"/>
  <c r="L30" i="2" s="1"/>
  <c r="M30" i="2" s="1"/>
  <c r="N30" i="2" s="1"/>
  <c r="I26" i="2"/>
  <c r="L26" i="2" s="1"/>
  <c r="M26" i="2" s="1"/>
  <c r="N26" i="2" s="1"/>
  <c r="I22" i="2"/>
  <c r="L22" i="2" s="1"/>
  <c r="M22" i="2" s="1"/>
  <c r="N22" i="2" s="1"/>
  <c r="I18" i="2"/>
  <c r="L18" i="2" s="1"/>
  <c r="M18" i="2" s="1"/>
  <c r="N18" i="2" s="1"/>
  <c r="I14" i="2"/>
  <c r="L14" i="2" s="1"/>
  <c r="M14" i="2" s="1"/>
  <c r="N14" i="2" s="1"/>
  <c r="I10" i="2"/>
  <c r="L10" i="2" s="1"/>
  <c r="M10" i="2" s="1"/>
  <c r="N10" i="2" s="1"/>
  <c r="I6" i="2"/>
  <c r="L6" i="2" s="1"/>
  <c r="M6" i="2" s="1"/>
  <c r="N6" i="2" s="1"/>
  <c r="I37" i="2"/>
  <c r="L37" i="2" s="1"/>
  <c r="M37" i="2" s="1"/>
  <c r="N37" i="2" s="1"/>
  <c r="I33" i="2"/>
  <c r="L33" i="2" s="1"/>
  <c r="M33" i="2" s="1"/>
  <c r="N33" i="2" s="1"/>
  <c r="I29" i="2"/>
  <c r="L29" i="2" s="1"/>
  <c r="M29" i="2" s="1"/>
  <c r="N29" i="2" s="1"/>
  <c r="I25" i="2"/>
  <c r="L25" i="2" s="1"/>
  <c r="M25" i="2" s="1"/>
  <c r="N25" i="2" s="1"/>
  <c r="I21" i="2"/>
  <c r="L21" i="2" s="1"/>
  <c r="M21" i="2" s="1"/>
  <c r="N21" i="2" s="1"/>
  <c r="I17" i="2"/>
  <c r="L17" i="2" s="1"/>
  <c r="M17" i="2" s="1"/>
  <c r="N17" i="2" s="1"/>
  <c r="I13" i="2"/>
  <c r="L13" i="2" s="1"/>
  <c r="M13" i="2" s="1"/>
  <c r="N13" i="2" s="1"/>
  <c r="I9" i="2"/>
  <c r="L9" i="2" s="1"/>
  <c r="M9" i="2" s="1"/>
  <c r="N9" i="2" s="1"/>
  <c r="I5" i="2"/>
  <c r="L5" i="2" s="1"/>
  <c r="M5" i="2" s="1"/>
  <c r="N5" i="2" s="1"/>
  <c r="K31" i="1"/>
  <c r="K19" i="1"/>
  <c r="K7" i="1"/>
  <c r="K38" i="1"/>
  <c r="K34" i="1"/>
  <c r="K30" i="1"/>
  <c r="K26" i="1"/>
  <c r="K22" i="1"/>
  <c r="K18" i="1"/>
  <c r="K14" i="1"/>
  <c r="K10" i="1"/>
  <c r="K6" i="1"/>
  <c r="K39" i="1"/>
  <c r="K27" i="1"/>
  <c r="K15" i="1"/>
  <c r="K33" i="1"/>
  <c r="K29" i="1"/>
  <c r="K25" i="1"/>
  <c r="K21" i="1"/>
  <c r="K17" i="1"/>
  <c r="K13" i="1"/>
  <c r="K9" i="1"/>
  <c r="K5" i="1"/>
  <c r="K35" i="1"/>
  <c r="L35" i="1" s="1"/>
  <c r="M35" i="1" s="1"/>
  <c r="N35" i="1" s="1"/>
  <c r="K23" i="1"/>
  <c r="K11" i="1"/>
  <c r="K32" i="1"/>
  <c r="K28" i="1"/>
  <c r="K24" i="1"/>
  <c r="K20" i="1"/>
  <c r="K16" i="1"/>
  <c r="K12" i="1"/>
  <c r="K8" i="1"/>
  <c r="K4" i="1"/>
  <c r="I35" i="1"/>
  <c r="I27" i="1"/>
  <c r="L27" i="1" s="1"/>
  <c r="M27" i="1" s="1"/>
  <c r="N27" i="1" s="1"/>
  <c r="O27" i="1" s="1"/>
  <c r="I23" i="1"/>
  <c r="L23" i="1" s="1"/>
  <c r="M23" i="1" s="1"/>
  <c r="N23" i="1" s="1"/>
  <c r="O23" i="1" s="1"/>
  <c r="I15" i="1"/>
  <c r="I11" i="1"/>
  <c r="L11" i="1" s="1"/>
  <c r="M11" i="1" s="1"/>
  <c r="N11" i="1" s="1"/>
  <c r="O11" i="1" s="1"/>
  <c r="I7" i="1"/>
  <c r="L7" i="1" s="1"/>
  <c r="M7" i="1" s="1"/>
  <c r="N7" i="1" s="1"/>
  <c r="O7" i="1" s="1"/>
  <c r="I30" i="1"/>
  <c r="L30" i="1" s="1"/>
  <c r="M30" i="1" s="1"/>
  <c r="N30" i="1" s="1"/>
  <c r="O30" i="1" s="1"/>
  <c r="I22" i="1"/>
  <c r="I18" i="1"/>
  <c r="L18" i="1" s="1"/>
  <c r="M18" i="1" s="1"/>
  <c r="N18" i="1" s="1"/>
  <c r="O18" i="1" s="1"/>
  <c r="I10" i="1"/>
  <c r="L10" i="1" s="1"/>
  <c r="M10" i="1" s="1"/>
  <c r="N10" i="1" s="1"/>
  <c r="O10" i="1" s="1"/>
  <c r="I6" i="1"/>
  <c r="I37" i="1"/>
  <c r="K37" i="1"/>
  <c r="I33" i="1"/>
  <c r="L33" i="1" s="1"/>
  <c r="M33" i="1" s="1"/>
  <c r="N33" i="1" s="1"/>
  <c r="P33" i="1" s="1"/>
  <c r="Q33" i="1" s="1"/>
  <c r="I29" i="1"/>
  <c r="L29" i="1" s="1"/>
  <c r="M29" i="1" s="1"/>
  <c r="N29" i="1" s="1"/>
  <c r="P29" i="1" s="1"/>
  <c r="Q29" i="1" s="1"/>
  <c r="I25" i="1"/>
  <c r="L25" i="1" s="1"/>
  <c r="M25" i="1" s="1"/>
  <c r="N25" i="1" s="1"/>
  <c r="O25" i="1" s="1"/>
  <c r="I21" i="1"/>
  <c r="L21" i="1" s="1"/>
  <c r="M21" i="1" s="1"/>
  <c r="N21" i="1" s="1"/>
  <c r="O21" i="1" s="1"/>
  <c r="I17" i="1"/>
  <c r="L17" i="1" s="1"/>
  <c r="M17" i="1" s="1"/>
  <c r="N17" i="1" s="1"/>
  <c r="P17" i="1" s="1"/>
  <c r="Q17" i="1" s="1"/>
  <c r="I13" i="1"/>
  <c r="L13" i="1" s="1"/>
  <c r="M13" i="1" s="1"/>
  <c r="N13" i="1" s="1"/>
  <c r="P13" i="1" s="1"/>
  <c r="Q13" i="1" s="1"/>
  <c r="I9" i="1"/>
  <c r="L9" i="1" s="1"/>
  <c r="M9" i="1" s="1"/>
  <c r="N9" i="1" s="1"/>
  <c r="O9" i="1" s="1"/>
  <c r="I5" i="1"/>
  <c r="L5" i="1" s="1"/>
  <c r="M5" i="1" s="1"/>
  <c r="N5" i="1" s="1"/>
  <c r="P5" i="1" s="1"/>
  <c r="Q5" i="1" s="1"/>
  <c r="I31" i="1"/>
  <c r="L31" i="1" s="1"/>
  <c r="M31" i="1" s="1"/>
  <c r="N31" i="1" s="1"/>
  <c r="O31" i="1" s="1"/>
  <c r="I19" i="1"/>
  <c r="L19" i="1" s="1"/>
  <c r="M19" i="1" s="1"/>
  <c r="N19" i="1" s="1"/>
  <c r="O19" i="1" s="1"/>
  <c r="I34" i="1"/>
  <c r="L34" i="1" s="1"/>
  <c r="M34" i="1" s="1"/>
  <c r="N34" i="1" s="1"/>
  <c r="P34" i="1" s="1"/>
  <c r="Q34" i="1" s="1"/>
  <c r="I26" i="1"/>
  <c r="L26" i="1" s="1"/>
  <c r="M26" i="1" s="1"/>
  <c r="N26" i="1" s="1"/>
  <c r="P26" i="1" s="1"/>
  <c r="Q26" i="1" s="1"/>
  <c r="I14" i="1"/>
  <c r="L14" i="1" s="1"/>
  <c r="M14" i="1" s="1"/>
  <c r="N14" i="1" s="1"/>
  <c r="P14" i="1" s="1"/>
  <c r="Q14" i="1" s="1"/>
  <c r="I40" i="1"/>
  <c r="K40" i="1"/>
  <c r="I36" i="1"/>
  <c r="K36" i="1"/>
  <c r="I32" i="1"/>
  <c r="I28" i="1"/>
  <c r="I24" i="1"/>
  <c r="L24" i="1" s="1"/>
  <c r="M24" i="1" s="1"/>
  <c r="N24" i="1" s="1"/>
  <c r="P24" i="1" s="1"/>
  <c r="Q24" i="1" s="1"/>
  <c r="I20" i="1"/>
  <c r="L20" i="1" s="1"/>
  <c r="M20" i="1" s="1"/>
  <c r="N20" i="1" s="1"/>
  <c r="P20" i="1" s="1"/>
  <c r="Q20" i="1" s="1"/>
  <c r="I16" i="1"/>
  <c r="I12" i="1"/>
  <c r="I8" i="1"/>
  <c r="L8" i="1" s="1"/>
  <c r="M8" i="1" s="1"/>
  <c r="N8" i="1" s="1"/>
  <c r="P8" i="1" s="1"/>
  <c r="Q8" i="1" s="1"/>
  <c r="I4" i="1"/>
  <c r="L4" i="1" s="1"/>
  <c r="M4" i="1" s="1"/>
  <c r="N4" i="1" s="1"/>
  <c r="O4" i="1" s="1"/>
  <c r="O3" i="4"/>
  <c r="N5" i="4"/>
  <c r="P19" i="1"/>
  <c r="Q19" i="1" s="1"/>
  <c r="P30" i="1"/>
  <c r="Q30" i="1" s="1"/>
  <c r="P18" i="1"/>
  <c r="Q18" i="1" s="1"/>
  <c r="O29" i="1"/>
  <c r="O13" i="1"/>
  <c r="I39" i="1"/>
  <c r="L39" i="1" s="1"/>
  <c r="M39" i="1" s="1"/>
  <c r="N39" i="1" s="1"/>
  <c r="I38" i="1"/>
  <c r="P23" i="1" l="1"/>
  <c r="Q23" i="1" s="1"/>
  <c r="P11" i="1"/>
  <c r="Q11" i="1" s="1"/>
  <c r="P20" i="2"/>
  <c r="Q20" i="2" s="1"/>
  <c r="O20" i="2"/>
  <c r="P11" i="2"/>
  <c r="Q11" i="2" s="1"/>
  <c r="O11" i="2"/>
  <c r="P28" i="2"/>
  <c r="Q28" i="2" s="1"/>
  <c r="O28" i="2"/>
  <c r="P35" i="2"/>
  <c r="Q35" i="2" s="1"/>
  <c r="O35" i="2"/>
  <c r="P19" i="2"/>
  <c r="Q19" i="2" s="1"/>
  <c r="O19" i="2"/>
  <c r="P4" i="2"/>
  <c r="Q4" i="2" s="1"/>
  <c r="O4" i="2"/>
  <c r="P27" i="2"/>
  <c r="Q27" i="2" s="1"/>
  <c r="O27" i="2"/>
  <c r="P12" i="2"/>
  <c r="Q12" i="2" s="1"/>
  <c r="O12" i="2"/>
  <c r="P9" i="2"/>
  <c r="Q9" i="2" s="1"/>
  <c r="O9" i="2"/>
  <c r="P22" i="2"/>
  <c r="Q22" i="2" s="1"/>
  <c r="O22" i="2"/>
  <c r="P36" i="2"/>
  <c r="Q36" i="2" s="1"/>
  <c r="O36" i="2"/>
  <c r="P13" i="2"/>
  <c r="Q13" i="2" s="1"/>
  <c r="O13" i="2"/>
  <c r="P29" i="2"/>
  <c r="Q29" i="2" s="1"/>
  <c r="O29" i="2"/>
  <c r="P10" i="2"/>
  <c r="Q10" i="2" s="1"/>
  <c r="O10" i="2"/>
  <c r="P26" i="2"/>
  <c r="Q26" i="2" s="1"/>
  <c r="O26" i="2"/>
  <c r="P7" i="2"/>
  <c r="Q7" i="2" s="1"/>
  <c r="O7" i="2"/>
  <c r="P39" i="2"/>
  <c r="Q39" i="2" s="1"/>
  <c r="O39" i="2"/>
  <c r="P24" i="2"/>
  <c r="Q24" i="2" s="1"/>
  <c r="O24" i="2"/>
  <c r="P25" i="2"/>
  <c r="Q25" i="2" s="1"/>
  <c r="O25" i="2"/>
  <c r="P38" i="2"/>
  <c r="Q38" i="2" s="1"/>
  <c r="O38" i="2"/>
  <c r="O16" i="2"/>
  <c r="P16" i="2"/>
  <c r="Q16" i="2" s="1"/>
  <c r="P17" i="2"/>
  <c r="Q17" i="2" s="1"/>
  <c r="O17" i="2"/>
  <c r="P33" i="2"/>
  <c r="Q33" i="2" s="1"/>
  <c r="O33" i="2"/>
  <c r="P14" i="2"/>
  <c r="Q14" i="2" s="1"/>
  <c r="O14" i="2"/>
  <c r="P30" i="2"/>
  <c r="Q30" i="2" s="1"/>
  <c r="O30" i="2"/>
  <c r="P15" i="2"/>
  <c r="Q15" i="2" s="1"/>
  <c r="O15" i="2"/>
  <c r="O32" i="2"/>
  <c r="P32" i="2"/>
  <c r="Q32" i="2" s="1"/>
  <c r="P6" i="2"/>
  <c r="Q6" i="2" s="1"/>
  <c r="O6" i="2"/>
  <c r="P31" i="2"/>
  <c r="Q31" i="2" s="1"/>
  <c r="O31" i="2"/>
  <c r="P5" i="2"/>
  <c r="Q5" i="2" s="1"/>
  <c r="O5" i="2"/>
  <c r="P21" i="2"/>
  <c r="Q21" i="2" s="1"/>
  <c r="O21" i="2"/>
  <c r="P37" i="2"/>
  <c r="Q37" i="2" s="1"/>
  <c r="O37" i="2"/>
  <c r="P18" i="2"/>
  <c r="Q18" i="2" s="1"/>
  <c r="O18" i="2"/>
  <c r="P34" i="2"/>
  <c r="Q34" i="2" s="1"/>
  <c r="O34" i="2"/>
  <c r="P23" i="2"/>
  <c r="Q23" i="2" s="1"/>
  <c r="O23" i="2"/>
  <c r="P8" i="2"/>
  <c r="Q8" i="2" s="1"/>
  <c r="O8" i="2"/>
  <c r="O26" i="1"/>
  <c r="L36" i="1"/>
  <c r="M36" i="1" s="1"/>
  <c r="N36" i="1" s="1"/>
  <c r="O36" i="1" s="1"/>
  <c r="P21" i="1"/>
  <c r="Q21" i="1" s="1"/>
  <c r="O14" i="1"/>
  <c r="O24" i="1"/>
  <c r="P4" i="1"/>
  <c r="Q4" i="1" s="1"/>
  <c r="O17" i="1"/>
  <c r="P10" i="1"/>
  <c r="Q10" i="1" s="1"/>
  <c r="P31" i="1"/>
  <c r="Q31" i="1" s="1"/>
  <c r="P7" i="1"/>
  <c r="Q7" i="1" s="1"/>
  <c r="O5" i="1"/>
  <c r="O33" i="1"/>
  <c r="P27" i="1"/>
  <c r="Q27" i="1" s="1"/>
  <c r="O8" i="1"/>
  <c r="O20" i="1"/>
  <c r="L12" i="1"/>
  <c r="M12" i="1" s="1"/>
  <c r="N12" i="1" s="1"/>
  <c r="O12" i="1" s="1"/>
  <c r="L28" i="1"/>
  <c r="M28" i="1" s="1"/>
  <c r="N28" i="1" s="1"/>
  <c r="O28" i="1" s="1"/>
  <c r="L40" i="1"/>
  <c r="M40" i="1" s="1"/>
  <c r="N40" i="1" s="1"/>
  <c r="P40" i="1" s="1"/>
  <c r="Q40" i="1" s="1"/>
  <c r="L37" i="1"/>
  <c r="M37" i="1" s="1"/>
  <c r="N37" i="1" s="1"/>
  <c r="L22" i="1"/>
  <c r="M22" i="1" s="1"/>
  <c r="N22" i="1" s="1"/>
  <c r="P22" i="1" s="1"/>
  <c r="Q22" i="1" s="1"/>
  <c r="L15" i="1"/>
  <c r="M15" i="1" s="1"/>
  <c r="N15" i="1" s="1"/>
  <c r="P15" i="1" s="1"/>
  <c r="Q15" i="1" s="1"/>
  <c r="L38" i="1"/>
  <c r="M38" i="1" s="1"/>
  <c r="N38" i="1" s="1"/>
  <c r="L16" i="1"/>
  <c r="M16" i="1" s="1"/>
  <c r="N16" i="1" s="1"/>
  <c r="O16" i="1" s="1"/>
  <c r="L32" i="1"/>
  <c r="M32" i="1" s="1"/>
  <c r="N32" i="1" s="1"/>
  <c r="L6" i="1"/>
  <c r="M6" i="1" s="1"/>
  <c r="N6" i="1" s="1"/>
  <c r="P9" i="1"/>
  <c r="Q9" i="1" s="1"/>
  <c r="O34" i="1"/>
  <c r="P25" i="1"/>
  <c r="Q25" i="1" s="1"/>
  <c r="P28" i="1"/>
  <c r="Q28" i="1" s="1"/>
  <c r="P16" i="1"/>
  <c r="Q16" i="1" s="1"/>
  <c r="O5" i="4"/>
  <c r="Q3" i="4"/>
  <c r="P3" i="4"/>
  <c r="P5" i="4" s="1"/>
  <c r="O38" i="1"/>
  <c r="P38" i="1"/>
  <c r="Q38" i="1" s="1"/>
  <c r="P35" i="1"/>
  <c r="Q35" i="1" s="1"/>
  <c r="O35" i="1"/>
  <c r="P39" i="1"/>
  <c r="Q39" i="1" s="1"/>
  <c r="O39" i="1"/>
  <c r="P37" i="1"/>
  <c r="Q37" i="1" s="1"/>
  <c r="O37" i="1"/>
  <c r="J3" i="1"/>
  <c r="F3" i="1"/>
  <c r="B3" i="1"/>
  <c r="O40" i="1" l="1"/>
  <c r="P36" i="1"/>
  <c r="Q36" i="1" s="1"/>
  <c r="O22" i="1"/>
  <c r="O15" i="1"/>
  <c r="O6" i="1"/>
  <c r="P6" i="1"/>
  <c r="Q6" i="1" s="1"/>
  <c r="O32" i="1"/>
  <c r="P32" i="1"/>
  <c r="Q32" i="1" s="1"/>
  <c r="P12" i="1"/>
  <c r="Q12" i="1" s="1"/>
  <c r="K3" i="1"/>
  <c r="R3" i="4"/>
  <c r="Q5" i="4"/>
  <c r="I3" i="1"/>
  <c r="J3" i="2"/>
  <c r="F3" i="2"/>
  <c r="I3" i="2" s="1"/>
  <c r="B3" i="2"/>
  <c r="L3" i="1" l="1"/>
  <c r="M3" i="1" s="1"/>
  <c r="N3" i="1" s="1"/>
  <c r="O3" i="1" s="1"/>
  <c r="K3" i="2"/>
  <c r="P3" i="1" l="1"/>
  <c r="Q3" i="1" s="1"/>
  <c r="L3" i="2"/>
  <c r="M3" i="2" s="1"/>
  <c r="N3" i="2" s="1"/>
  <c r="P3" i="2" l="1"/>
  <c r="Q3" i="2" s="1"/>
  <c r="O3" i="2"/>
</calcChain>
</file>

<file path=xl/sharedStrings.xml><?xml version="1.0" encoding="utf-8"?>
<sst xmlns="http://schemas.openxmlformats.org/spreadsheetml/2006/main" count="211" uniqueCount="38">
  <si>
    <t>FLEXIBLE CABLE POWERANT FACTORY</t>
  </si>
  <si>
    <t>MM</t>
  </si>
  <si>
    <t>000S</t>
  </si>
  <si>
    <t>STANDARD CABLE POWERANT FACTORY</t>
  </si>
  <si>
    <t>4.1% Mazdoori</t>
  </si>
  <si>
    <t>5% Factory</t>
  </si>
  <si>
    <t>mm.2</t>
  </si>
  <si>
    <t>Wire Count</t>
  </si>
  <si>
    <t>Core</t>
  </si>
  <si>
    <t>Cur Copp Rate</t>
  </si>
  <si>
    <t>1Coil Pvc</t>
  </si>
  <si>
    <t>1Coil Copper</t>
  </si>
  <si>
    <t>1Coil Copp RS</t>
  </si>
  <si>
    <t>1Coil Pvc RS</t>
  </si>
  <si>
    <t>1Coil Draw RS</t>
  </si>
  <si>
    <t>1Coil Draw+Copp</t>
  </si>
  <si>
    <t>1Coil Pvc+Draw+Copp RS</t>
  </si>
  <si>
    <t>4.1% Per Feet Rate</t>
  </si>
  <si>
    <t>5% Per Feet Rate</t>
  </si>
  <si>
    <t>s.no</t>
  </si>
  <si>
    <t>6/57+1/60</t>
  </si>
  <si>
    <t>TWO GAJE ONE CABLE</t>
  </si>
  <si>
    <t>2/27+1/29</t>
  </si>
  <si>
    <t>6/32+1/33</t>
  </si>
  <si>
    <t>5/32+2/33</t>
  </si>
  <si>
    <t>S.NO</t>
  </si>
  <si>
    <t>MM.2</t>
  </si>
  <si>
    <t>SINGLE CORE FLEXIBLE CABLE FIX PVC + COPPER</t>
  </si>
  <si>
    <t>SINGLE CORE STANDARD CABLE FIX PVC + COPPER</t>
  </si>
  <si>
    <t>TWO CORE FLEXIBLE CABLE FIX PVC + COPPER</t>
  </si>
  <si>
    <t>TWO CORE STANDARD CABLE FIX PVC + COPPER</t>
  </si>
  <si>
    <t>THREE CORE FLEXIBLE CABLE FIX PVC + COPPER</t>
  </si>
  <si>
    <t>THREE CORE STANDARD CABLE FIX PVC + COPPER</t>
  </si>
  <si>
    <t>FOUR CORE FLEXIBLE CABLE FIX PVC + COPPER</t>
  </si>
  <si>
    <t>FOUR CORE STANDARD CABLE FIX PVC + COPPER</t>
  </si>
  <si>
    <t>1Coil     Pvc RS</t>
  </si>
  <si>
    <t>1Coil Copp</t>
  </si>
  <si>
    <t>1Coil Dra+Copp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</si>
</sst>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_);[Red]\(0.00\)"/>
    <numFmt numFmtId="165" formatCode="0.000_);[Red]\(0.000\)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9"/>
      <color theme="1"/>
      <name val="Microsoft YaHei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Microsoft YaHei"/>
      <family val="2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9"/>
      <color theme="0"/>
      <name val="Microsoft YaHei"/>
      <family val="2"/>
    </font>
    <font>
      <b/>
      <sz val="8"/>
      <color theme="0"/>
      <name val="Microsoft YaHei"/>
      <family val="2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wrapText="1"/>
    </xf>
    <xf numFmtId="164" fontId="13" fillId="4" borderId="1" xfId="0" applyNumberFormat="1" applyFont="1" applyFill="1" applyBorder="1" applyAlignment="1">
      <alignment horizontal="center" wrapText="1"/>
    </xf>
    <xf numFmtId="165" fontId="13" fillId="4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wrapText="1"/>
    </xf>
    <xf numFmtId="165" fontId="14" fillId="4" borderId="1" xfId="0" applyNumberFormat="1" applyFont="1" applyFill="1" applyBorder="1" applyAlignment="1">
      <alignment horizontal="center" wrapText="1"/>
    </xf>
    <xf numFmtId="0" fontId="15" fillId="0" borderId="0" xfId="0" applyFont="1" applyAlignment="1"/>
    <xf numFmtId="0" fontId="16" fillId="4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wrapText="1"/>
    </xf>
    <xf numFmtId="0" fontId="5" fillId="0" borderId="0" xfId="0" applyFont="1"/>
    <xf numFmtId="0" fontId="15" fillId="0" borderId="0" xfId="0" applyFont="1"/>
    <xf numFmtId="0" fontId="2" fillId="0" borderId="0" xfId="0" applyFont="1"/>
    <xf numFmtId="0" fontId="5" fillId="0" borderId="0" xfId="0" applyFont="1" applyAlignment="1">
      <alignment wrapText="1"/>
    </xf>
    <xf numFmtId="0" fontId="18" fillId="0" borderId="0" xfId="0" applyFont="1"/>
    <xf numFmtId="164" fontId="7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Normal="100" workbookViewId="0">
      <selection sqref="A1:Q1"/>
    </sheetView>
  </sheetViews>
  <sheetFormatPr defaultColWidth="6.140625" defaultRowHeight="12.75" x14ac:dyDescent="0.2"/>
  <cols>
    <col min="1" max="1" width="4.42578125" style="14" bestFit="1" customWidth="1"/>
    <col min="2" max="2" width="6" style="4" bestFit="1" customWidth="1"/>
    <col min="3" max="3" width="6.28515625" style="4" bestFit="1" customWidth="1"/>
    <col min="4" max="5" width="5" style="4" bestFit="1" customWidth="1"/>
    <col min="6" max="6" width="7.28515625" style="4" bestFit="1" customWidth="1"/>
    <col min="7" max="7" width="5.42578125" style="4" bestFit="1" customWidth="1"/>
    <col min="8" max="8" width="9.140625" style="4" bestFit="1" customWidth="1"/>
    <col min="9" max="9" width="8.42578125" style="4" bestFit="1" customWidth="1"/>
    <col min="10" max="10" width="6.7109375" style="4" bestFit="1" customWidth="1"/>
    <col min="11" max="11" width="8.28515625" style="4" bestFit="1" customWidth="1"/>
    <col min="12" max="12" width="11.42578125" style="4" bestFit="1" customWidth="1"/>
    <col min="13" max="13" width="9.85546875" style="4" customWidth="1"/>
    <col min="14" max="14" width="14" style="4" bestFit="1" customWidth="1"/>
    <col min="15" max="15" width="9.140625" style="4" bestFit="1" customWidth="1"/>
    <col min="16" max="16" width="10.5703125" style="4" bestFit="1" customWidth="1"/>
    <col min="17" max="17" width="12" style="12" bestFit="1" customWidth="1"/>
    <col min="18" max="16384" width="6.140625" style="4"/>
  </cols>
  <sheetData>
    <row r="1" spans="1:17" ht="26.25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s="30" customFormat="1" ht="42.75" x14ac:dyDescent="0.3">
      <c r="A2" s="19" t="s">
        <v>1</v>
      </c>
      <c r="B2" s="20" t="s">
        <v>6</v>
      </c>
      <c r="C2" s="19" t="s">
        <v>7</v>
      </c>
      <c r="D2" s="19" t="s">
        <v>2</v>
      </c>
      <c r="E2" s="19" t="s">
        <v>8</v>
      </c>
      <c r="F2" s="21" t="s">
        <v>11</v>
      </c>
      <c r="G2" s="19" t="s">
        <v>10</v>
      </c>
      <c r="H2" s="19" t="s">
        <v>9</v>
      </c>
      <c r="I2" s="19" t="s">
        <v>12</v>
      </c>
      <c r="J2" s="19" t="s">
        <v>13</v>
      </c>
      <c r="K2" s="20" t="s">
        <v>14</v>
      </c>
      <c r="L2" s="20" t="s">
        <v>15</v>
      </c>
      <c r="M2" s="19" t="s">
        <v>16</v>
      </c>
      <c r="N2" s="19" t="s">
        <v>4</v>
      </c>
      <c r="O2" s="19" t="s">
        <v>17</v>
      </c>
      <c r="P2" s="19" t="s">
        <v>5</v>
      </c>
      <c r="Q2" s="19" t="s">
        <v>18</v>
      </c>
    </row>
    <row r="3" spans="1:17" ht="14.25" x14ac:dyDescent="0.2">
      <c r="A3" s="13">
        <v>1</v>
      </c>
      <c r="B3" s="8">
        <f>SUM(D3*D3*C3*507/1000000)</f>
        <v>0.76049999999999995</v>
      </c>
      <c r="C3" s="1">
        <v>15</v>
      </c>
      <c r="D3" s="1">
        <v>10</v>
      </c>
      <c r="E3" s="1">
        <v>1</v>
      </c>
      <c r="F3" s="9">
        <f>SUM(D3*D3*C3*E3*330/800000)</f>
        <v>0.61875000000000002</v>
      </c>
      <c r="G3" s="1">
        <v>0.9</v>
      </c>
      <c r="H3" s="1">
        <v>4080</v>
      </c>
      <c r="I3" s="10">
        <f t="shared" ref="I3:I40" si="0">SUM(F3*H3)</f>
        <v>2524.5</v>
      </c>
      <c r="J3" s="1">
        <f t="shared" ref="J3:J40" si="1">SUM(G3*300)</f>
        <v>270</v>
      </c>
      <c r="K3" s="8">
        <f t="shared" ref="K3:K40" si="2">SUM(F3*100)</f>
        <v>61.875</v>
      </c>
      <c r="L3" s="8">
        <f>SUM(I3+K3)</f>
        <v>2586.375</v>
      </c>
      <c r="M3" s="10">
        <f>SUM(L3+J3)</f>
        <v>2856.375</v>
      </c>
      <c r="N3" s="10">
        <f>M3+(M3*4.1%)</f>
        <v>2973.486375</v>
      </c>
      <c r="O3" s="10">
        <f>SUM(N3/300)</f>
        <v>9.9116212499999996</v>
      </c>
      <c r="P3" s="8">
        <f>N3+(N3*5%)</f>
        <v>3122.1606937500001</v>
      </c>
      <c r="Q3" s="15">
        <f>SUM(P3/300)</f>
        <v>10.407202312500001</v>
      </c>
    </row>
    <row r="4" spans="1:17" ht="14.25" x14ac:dyDescent="0.2">
      <c r="A4" s="13">
        <v>1</v>
      </c>
      <c r="B4" s="8">
        <f t="shared" ref="B4:B40" si="3">SUM(D4*D4*C4*507/1000000)</f>
        <v>0.76049999999999995</v>
      </c>
      <c r="C4" s="1">
        <v>15</v>
      </c>
      <c r="D4" s="1">
        <v>10</v>
      </c>
      <c r="E4" s="1">
        <v>2</v>
      </c>
      <c r="F4" s="9">
        <f t="shared" ref="F4:F40" si="4">SUM(D4*D4*C4*E4*330/800000)</f>
        <v>1.2375</v>
      </c>
      <c r="G4" s="1">
        <v>6.3</v>
      </c>
      <c r="H4" s="1">
        <v>4080</v>
      </c>
      <c r="I4" s="10">
        <f t="shared" si="0"/>
        <v>5049</v>
      </c>
      <c r="J4" s="1">
        <f t="shared" si="1"/>
        <v>1890</v>
      </c>
      <c r="K4" s="8">
        <f t="shared" si="2"/>
        <v>123.75</v>
      </c>
      <c r="L4" s="8">
        <f t="shared" ref="L4:L40" si="5">SUM(I4+K4)</f>
        <v>5172.75</v>
      </c>
      <c r="M4" s="10">
        <f t="shared" ref="M4:M40" si="6">SUM(L4+J4)</f>
        <v>7062.75</v>
      </c>
      <c r="N4" s="10">
        <f t="shared" ref="N4:N40" si="7">M4+(M4*4.1%)</f>
        <v>7352.3227500000003</v>
      </c>
      <c r="O4" s="10">
        <f t="shared" ref="O4:O40" si="8">SUM(N4/300)</f>
        <v>24.507742500000003</v>
      </c>
      <c r="P4" s="8">
        <f t="shared" ref="P4:P40" si="9">N4+(N4*5%)</f>
        <v>7719.9388875000004</v>
      </c>
      <c r="Q4" s="15">
        <f t="shared" ref="Q4:Q40" si="10">SUM(P4/300)</f>
        <v>25.733129625</v>
      </c>
    </row>
    <row r="5" spans="1:17" ht="14.25" x14ac:dyDescent="0.2">
      <c r="A5" s="13">
        <v>1</v>
      </c>
      <c r="B5" s="8">
        <f t="shared" si="3"/>
        <v>0.76049999999999995</v>
      </c>
      <c r="C5" s="1">
        <v>15</v>
      </c>
      <c r="D5" s="1">
        <v>10</v>
      </c>
      <c r="E5" s="1">
        <v>3</v>
      </c>
      <c r="F5" s="9">
        <f t="shared" si="4"/>
        <v>1.85625</v>
      </c>
      <c r="G5" s="1">
        <v>7.5</v>
      </c>
      <c r="H5" s="1">
        <v>4080</v>
      </c>
      <c r="I5" s="10">
        <f t="shared" si="0"/>
        <v>7573.5</v>
      </c>
      <c r="J5" s="1">
        <f t="shared" si="1"/>
        <v>2250</v>
      </c>
      <c r="K5" s="8">
        <f t="shared" si="2"/>
        <v>185.625</v>
      </c>
      <c r="L5" s="8">
        <f t="shared" si="5"/>
        <v>7759.125</v>
      </c>
      <c r="M5" s="10">
        <f t="shared" si="6"/>
        <v>10009.125</v>
      </c>
      <c r="N5" s="10">
        <f t="shared" si="7"/>
        <v>10419.499125</v>
      </c>
      <c r="O5" s="10">
        <f t="shared" si="8"/>
        <v>34.731663750000003</v>
      </c>
      <c r="P5" s="8">
        <f t="shared" si="9"/>
        <v>10940.47408125</v>
      </c>
      <c r="Q5" s="15">
        <f t="shared" si="10"/>
        <v>36.468246937499998</v>
      </c>
    </row>
    <row r="6" spans="1:17" ht="14.25" x14ac:dyDescent="0.2">
      <c r="A6" s="13">
        <v>1</v>
      </c>
      <c r="B6" s="8">
        <f t="shared" si="3"/>
        <v>0.76049999999999995</v>
      </c>
      <c r="C6" s="1">
        <v>15</v>
      </c>
      <c r="D6" s="1">
        <v>10</v>
      </c>
      <c r="E6" s="1">
        <v>4</v>
      </c>
      <c r="F6" s="9">
        <f t="shared" si="4"/>
        <v>2.4750000000000001</v>
      </c>
      <c r="G6" s="1">
        <v>9.6</v>
      </c>
      <c r="H6" s="1">
        <v>4080</v>
      </c>
      <c r="I6" s="10">
        <f t="shared" si="0"/>
        <v>10098</v>
      </c>
      <c r="J6" s="1">
        <f t="shared" si="1"/>
        <v>2880</v>
      </c>
      <c r="K6" s="8">
        <f t="shared" si="2"/>
        <v>247.5</v>
      </c>
      <c r="L6" s="8">
        <f t="shared" si="5"/>
        <v>10345.5</v>
      </c>
      <c r="M6" s="10">
        <f t="shared" si="6"/>
        <v>13225.5</v>
      </c>
      <c r="N6" s="10">
        <f t="shared" si="7"/>
        <v>13767.745499999999</v>
      </c>
      <c r="O6" s="10">
        <f t="shared" si="8"/>
        <v>45.892484999999994</v>
      </c>
      <c r="P6" s="8">
        <f t="shared" si="9"/>
        <v>14456.132774999998</v>
      </c>
      <c r="Q6" s="15">
        <f t="shared" si="10"/>
        <v>48.187109249999992</v>
      </c>
    </row>
    <row r="7" spans="1:17" ht="14.25" x14ac:dyDescent="0.2">
      <c r="A7" s="13">
        <v>1</v>
      </c>
      <c r="B7" s="8">
        <f t="shared" si="3"/>
        <v>1.014</v>
      </c>
      <c r="C7" s="1">
        <v>20</v>
      </c>
      <c r="D7" s="1">
        <v>10</v>
      </c>
      <c r="E7" s="1">
        <v>1</v>
      </c>
      <c r="F7" s="9">
        <f t="shared" si="4"/>
        <v>0.82499999999999996</v>
      </c>
      <c r="G7" s="1">
        <v>0.8</v>
      </c>
      <c r="H7" s="1">
        <v>4080</v>
      </c>
      <c r="I7" s="10">
        <f t="shared" si="0"/>
        <v>3366</v>
      </c>
      <c r="J7" s="1">
        <f t="shared" si="1"/>
        <v>240</v>
      </c>
      <c r="K7" s="8">
        <f t="shared" si="2"/>
        <v>82.5</v>
      </c>
      <c r="L7" s="8">
        <f t="shared" si="5"/>
        <v>3448.5</v>
      </c>
      <c r="M7" s="10">
        <f t="shared" si="6"/>
        <v>3688.5</v>
      </c>
      <c r="N7" s="10">
        <f t="shared" si="7"/>
        <v>3839.7285000000002</v>
      </c>
      <c r="O7" s="10">
        <f t="shared" si="8"/>
        <v>12.799095000000001</v>
      </c>
      <c r="P7" s="8">
        <f t="shared" si="9"/>
        <v>4031.7149250000002</v>
      </c>
      <c r="Q7" s="15">
        <f t="shared" si="10"/>
        <v>13.439049750000001</v>
      </c>
    </row>
    <row r="8" spans="1:17" ht="14.25" x14ac:dyDescent="0.2">
      <c r="A8" s="13">
        <v>1</v>
      </c>
      <c r="B8" s="8">
        <f t="shared" si="3"/>
        <v>1.014</v>
      </c>
      <c r="C8" s="1">
        <v>20</v>
      </c>
      <c r="D8" s="1">
        <v>10</v>
      </c>
      <c r="E8" s="1">
        <v>2</v>
      </c>
      <c r="F8" s="9">
        <f t="shared" si="4"/>
        <v>1.65</v>
      </c>
      <c r="G8" s="1">
        <v>0</v>
      </c>
      <c r="H8" s="1">
        <v>4080</v>
      </c>
      <c r="I8" s="10">
        <f t="shared" si="0"/>
        <v>6732</v>
      </c>
      <c r="J8" s="1">
        <f t="shared" si="1"/>
        <v>0</v>
      </c>
      <c r="K8" s="8">
        <f t="shared" si="2"/>
        <v>165</v>
      </c>
      <c r="L8" s="8">
        <f t="shared" si="5"/>
        <v>6897</v>
      </c>
      <c r="M8" s="10">
        <f t="shared" si="6"/>
        <v>6897</v>
      </c>
      <c r="N8" s="10">
        <f t="shared" si="7"/>
        <v>7179.777</v>
      </c>
      <c r="O8" s="10">
        <f t="shared" si="8"/>
        <v>23.932590000000001</v>
      </c>
      <c r="P8" s="8">
        <f t="shared" si="9"/>
        <v>7538.7658499999998</v>
      </c>
      <c r="Q8" s="15">
        <f t="shared" si="10"/>
        <v>25.129219499999998</v>
      </c>
    </row>
    <row r="9" spans="1:17" ht="14.25" x14ac:dyDescent="0.2">
      <c r="A9" s="13">
        <v>1</v>
      </c>
      <c r="B9" s="8">
        <f t="shared" si="3"/>
        <v>1.014</v>
      </c>
      <c r="C9" s="1">
        <v>20</v>
      </c>
      <c r="D9" s="1">
        <v>10</v>
      </c>
      <c r="E9" s="1">
        <v>3</v>
      </c>
      <c r="F9" s="9">
        <f t="shared" si="4"/>
        <v>2.4750000000000001</v>
      </c>
      <c r="G9" s="1">
        <v>0</v>
      </c>
      <c r="H9" s="1">
        <v>4080</v>
      </c>
      <c r="I9" s="10">
        <f t="shared" si="0"/>
        <v>10098</v>
      </c>
      <c r="J9" s="1">
        <f t="shared" si="1"/>
        <v>0</v>
      </c>
      <c r="K9" s="8">
        <f t="shared" si="2"/>
        <v>247.5</v>
      </c>
      <c r="L9" s="8">
        <f t="shared" si="5"/>
        <v>10345.5</v>
      </c>
      <c r="M9" s="10">
        <f t="shared" si="6"/>
        <v>10345.5</v>
      </c>
      <c r="N9" s="10">
        <f t="shared" si="7"/>
        <v>10769.665499999999</v>
      </c>
      <c r="O9" s="10">
        <f t="shared" si="8"/>
        <v>35.898885</v>
      </c>
      <c r="P9" s="8">
        <f t="shared" si="9"/>
        <v>11308.148775</v>
      </c>
      <c r="Q9" s="15">
        <f t="shared" si="10"/>
        <v>37.69382925</v>
      </c>
    </row>
    <row r="10" spans="1:17" ht="14.25" x14ac:dyDescent="0.2">
      <c r="A10" s="13">
        <v>1</v>
      </c>
      <c r="B10" s="8">
        <f t="shared" si="3"/>
        <v>1.014</v>
      </c>
      <c r="C10" s="1">
        <v>20</v>
      </c>
      <c r="D10" s="1">
        <v>10</v>
      </c>
      <c r="E10" s="1">
        <v>4</v>
      </c>
      <c r="F10" s="9">
        <f t="shared" si="4"/>
        <v>3.3</v>
      </c>
      <c r="G10" s="1">
        <v>0</v>
      </c>
      <c r="H10" s="1">
        <v>4080</v>
      </c>
      <c r="I10" s="10">
        <f t="shared" si="0"/>
        <v>13464</v>
      </c>
      <c r="J10" s="1">
        <f t="shared" si="1"/>
        <v>0</v>
      </c>
      <c r="K10" s="8">
        <f t="shared" si="2"/>
        <v>330</v>
      </c>
      <c r="L10" s="8">
        <f t="shared" si="5"/>
        <v>13794</v>
      </c>
      <c r="M10" s="10">
        <f t="shared" si="6"/>
        <v>13794</v>
      </c>
      <c r="N10" s="10">
        <f t="shared" si="7"/>
        <v>14359.554</v>
      </c>
      <c r="O10" s="10">
        <f t="shared" si="8"/>
        <v>47.865180000000002</v>
      </c>
      <c r="P10" s="8">
        <f t="shared" si="9"/>
        <v>15077.5317</v>
      </c>
      <c r="Q10" s="15">
        <f t="shared" si="10"/>
        <v>50.258438999999996</v>
      </c>
    </row>
    <row r="11" spans="1:17" ht="14.25" x14ac:dyDescent="0.2">
      <c r="A11" s="13">
        <v>1.5</v>
      </c>
      <c r="B11" s="8">
        <f t="shared" si="3"/>
        <v>1.1660999999999999</v>
      </c>
      <c r="C11" s="1">
        <v>23</v>
      </c>
      <c r="D11" s="1">
        <v>10</v>
      </c>
      <c r="E11" s="1">
        <v>1</v>
      </c>
      <c r="F11" s="9">
        <f t="shared" si="4"/>
        <v>0.94874999999999998</v>
      </c>
      <c r="G11" s="39">
        <v>1.3</v>
      </c>
      <c r="H11" s="1">
        <v>4080</v>
      </c>
      <c r="I11" s="10">
        <f t="shared" si="0"/>
        <v>3870.9</v>
      </c>
      <c r="J11" s="1">
        <f t="shared" si="1"/>
        <v>390</v>
      </c>
      <c r="K11" s="8">
        <f t="shared" si="2"/>
        <v>94.875</v>
      </c>
      <c r="L11" s="8">
        <f t="shared" si="5"/>
        <v>3965.7750000000001</v>
      </c>
      <c r="M11" s="10">
        <f t="shared" si="6"/>
        <v>4355.7749999999996</v>
      </c>
      <c r="N11" s="10">
        <f t="shared" si="7"/>
        <v>4534.3617749999994</v>
      </c>
      <c r="O11" s="10">
        <f t="shared" si="8"/>
        <v>15.114539249999998</v>
      </c>
      <c r="P11" s="8">
        <f t="shared" si="9"/>
        <v>4761.0798637499993</v>
      </c>
      <c r="Q11" s="15">
        <f t="shared" si="10"/>
        <v>15.870266212499997</v>
      </c>
    </row>
    <row r="12" spans="1:17" ht="14.25" x14ac:dyDescent="0.2">
      <c r="A12" s="13">
        <v>1.5</v>
      </c>
      <c r="B12" s="8">
        <f t="shared" si="3"/>
        <v>1.1660999999999999</v>
      </c>
      <c r="C12" s="1">
        <v>23</v>
      </c>
      <c r="D12" s="1">
        <v>10</v>
      </c>
      <c r="E12" s="1">
        <v>2</v>
      </c>
      <c r="F12" s="9">
        <f t="shared" si="4"/>
        <v>1.8975</v>
      </c>
      <c r="G12" s="1">
        <v>6.7</v>
      </c>
      <c r="H12" s="1">
        <v>4080</v>
      </c>
      <c r="I12" s="10">
        <f t="shared" si="0"/>
        <v>7741.8</v>
      </c>
      <c r="J12" s="1">
        <f t="shared" si="1"/>
        <v>2010</v>
      </c>
      <c r="K12" s="8">
        <f t="shared" si="2"/>
        <v>189.75</v>
      </c>
      <c r="L12" s="8">
        <f t="shared" si="5"/>
        <v>7931.55</v>
      </c>
      <c r="M12" s="10">
        <f t="shared" si="6"/>
        <v>9941.5499999999993</v>
      </c>
      <c r="N12" s="10">
        <f t="shared" si="7"/>
        <v>10349.153549999999</v>
      </c>
      <c r="O12" s="10">
        <f t="shared" si="8"/>
        <v>34.497178499999997</v>
      </c>
      <c r="P12" s="8">
        <f t="shared" si="9"/>
        <v>10866.6112275</v>
      </c>
      <c r="Q12" s="15">
        <f t="shared" si="10"/>
        <v>36.222037424999996</v>
      </c>
    </row>
    <row r="13" spans="1:17" ht="14.25" x14ac:dyDescent="0.2">
      <c r="A13" s="13">
        <v>1.5</v>
      </c>
      <c r="B13" s="8">
        <f t="shared" si="3"/>
        <v>1.1660999999999999</v>
      </c>
      <c r="C13" s="1">
        <v>23</v>
      </c>
      <c r="D13" s="1">
        <v>10</v>
      </c>
      <c r="E13" s="1">
        <v>3</v>
      </c>
      <c r="F13" s="9">
        <f t="shared" si="4"/>
        <v>2.8462499999999999</v>
      </c>
      <c r="G13" s="1">
        <v>9</v>
      </c>
      <c r="H13" s="1">
        <v>4080</v>
      </c>
      <c r="I13" s="10">
        <f t="shared" si="0"/>
        <v>11612.699999999999</v>
      </c>
      <c r="J13" s="1">
        <f t="shared" si="1"/>
        <v>2700</v>
      </c>
      <c r="K13" s="8">
        <f t="shared" si="2"/>
        <v>284.625</v>
      </c>
      <c r="L13" s="8">
        <f t="shared" si="5"/>
        <v>11897.324999999999</v>
      </c>
      <c r="M13" s="10">
        <f t="shared" si="6"/>
        <v>14597.324999999999</v>
      </c>
      <c r="N13" s="10">
        <f t="shared" si="7"/>
        <v>15195.815325</v>
      </c>
      <c r="O13" s="10">
        <f t="shared" si="8"/>
        <v>50.652717750000001</v>
      </c>
      <c r="P13" s="8">
        <f t="shared" si="9"/>
        <v>15955.60609125</v>
      </c>
      <c r="Q13" s="15">
        <f t="shared" si="10"/>
        <v>53.1853536375</v>
      </c>
    </row>
    <row r="14" spans="1:17" ht="14.25" x14ac:dyDescent="0.2">
      <c r="A14" s="13">
        <v>1.5</v>
      </c>
      <c r="B14" s="8">
        <f t="shared" si="3"/>
        <v>1.1660999999999999</v>
      </c>
      <c r="C14" s="1">
        <v>23</v>
      </c>
      <c r="D14" s="1">
        <v>10</v>
      </c>
      <c r="E14" s="1">
        <v>4</v>
      </c>
      <c r="F14" s="9">
        <f t="shared" si="4"/>
        <v>3.7949999999999999</v>
      </c>
      <c r="G14" s="1">
        <v>11.5</v>
      </c>
      <c r="H14" s="1">
        <v>4080</v>
      </c>
      <c r="I14" s="10">
        <f t="shared" si="0"/>
        <v>15483.6</v>
      </c>
      <c r="J14" s="1">
        <f t="shared" si="1"/>
        <v>3450</v>
      </c>
      <c r="K14" s="8">
        <f t="shared" si="2"/>
        <v>379.5</v>
      </c>
      <c r="L14" s="8">
        <f t="shared" si="5"/>
        <v>15863.1</v>
      </c>
      <c r="M14" s="10">
        <f t="shared" si="6"/>
        <v>19313.099999999999</v>
      </c>
      <c r="N14" s="10">
        <f t="shared" si="7"/>
        <v>20104.937099999999</v>
      </c>
      <c r="O14" s="10">
        <f t="shared" si="8"/>
        <v>67.016457000000003</v>
      </c>
      <c r="P14" s="8">
        <f t="shared" si="9"/>
        <v>21110.183955</v>
      </c>
      <c r="Q14" s="15">
        <f t="shared" si="10"/>
        <v>70.367279850000003</v>
      </c>
    </row>
    <row r="15" spans="1:17" ht="14.25" x14ac:dyDescent="0.2">
      <c r="A15" s="13">
        <v>1.5</v>
      </c>
      <c r="B15" s="8">
        <f t="shared" si="3"/>
        <v>1.5209999999999999</v>
      </c>
      <c r="C15" s="1">
        <v>30</v>
      </c>
      <c r="D15" s="1">
        <v>10</v>
      </c>
      <c r="E15" s="1">
        <v>1</v>
      </c>
      <c r="F15" s="9">
        <f t="shared" si="4"/>
        <v>1.2375</v>
      </c>
      <c r="G15" s="39">
        <v>1.3</v>
      </c>
      <c r="H15" s="1">
        <v>4080</v>
      </c>
      <c r="I15" s="10">
        <f t="shared" si="0"/>
        <v>5049</v>
      </c>
      <c r="J15" s="1">
        <f t="shared" si="1"/>
        <v>390</v>
      </c>
      <c r="K15" s="8">
        <f t="shared" si="2"/>
        <v>123.75</v>
      </c>
      <c r="L15" s="8">
        <f t="shared" si="5"/>
        <v>5172.75</v>
      </c>
      <c r="M15" s="10">
        <f t="shared" si="6"/>
        <v>5562.75</v>
      </c>
      <c r="N15" s="10">
        <f t="shared" si="7"/>
        <v>5790.8227500000003</v>
      </c>
      <c r="O15" s="10">
        <f t="shared" si="8"/>
        <v>19.302742500000001</v>
      </c>
      <c r="P15" s="8">
        <f t="shared" si="9"/>
        <v>6080.3638875000006</v>
      </c>
      <c r="Q15" s="15">
        <f t="shared" si="10"/>
        <v>20.267879625000003</v>
      </c>
    </row>
    <row r="16" spans="1:17" ht="14.25" x14ac:dyDescent="0.2">
      <c r="A16" s="13">
        <v>1.5</v>
      </c>
      <c r="B16" s="8">
        <f t="shared" si="3"/>
        <v>1.5209999999999999</v>
      </c>
      <c r="C16" s="1">
        <v>30</v>
      </c>
      <c r="D16" s="1">
        <v>10</v>
      </c>
      <c r="E16" s="1">
        <v>2</v>
      </c>
      <c r="F16" s="9">
        <f t="shared" si="4"/>
        <v>2.4750000000000001</v>
      </c>
      <c r="G16" s="1">
        <v>7.5</v>
      </c>
      <c r="H16" s="1">
        <v>4080</v>
      </c>
      <c r="I16" s="10">
        <f t="shared" si="0"/>
        <v>10098</v>
      </c>
      <c r="J16" s="1">
        <f t="shared" si="1"/>
        <v>2250</v>
      </c>
      <c r="K16" s="8">
        <f t="shared" si="2"/>
        <v>247.5</v>
      </c>
      <c r="L16" s="8">
        <f t="shared" si="5"/>
        <v>10345.5</v>
      </c>
      <c r="M16" s="10">
        <f t="shared" si="6"/>
        <v>12595.5</v>
      </c>
      <c r="N16" s="10">
        <f t="shared" si="7"/>
        <v>13111.915499999999</v>
      </c>
      <c r="O16" s="10">
        <f t="shared" si="8"/>
        <v>43.706384999999997</v>
      </c>
      <c r="P16" s="8">
        <f t="shared" si="9"/>
        <v>13767.511274999999</v>
      </c>
      <c r="Q16" s="15">
        <f t="shared" si="10"/>
        <v>45.891704249999997</v>
      </c>
    </row>
    <row r="17" spans="1:17" ht="14.25" x14ac:dyDescent="0.2">
      <c r="A17" s="13">
        <v>1.5</v>
      </c>
      <c r="B17" s="8">
        <f t="shared" si="3"/>
        <v>1.5209999999999999</v>
      </c>
      <c r="C17" s="1">
        <v>30</v>
      </c>
      <c r="D17" s="1">
        <v>10</v>
      </c>
      <c r="E17" s="1">
        <v>3</v>
      </c>
      <c r="F17" s="9">
        <f t="shared" si="4"/>
        <v>3.7124999999999999</v>
      </c>
      <c r="G17" s="1">
        <v>8.4</v>
      </c>
      <c r="H17" s="1">
        <v>4080</v>
      </c>
      <c r="I17" s="10">
        <f t="shared" si="0"/>
        <v>15147</v>
      </c>
      <c r="J17" s="1">
        <f t="shared" si="1"/>
        <v>2520</v>
      </c>
      <c r="K17" s="8">
        <f t="shared" si="2"/>
        <v>371.25</v>
      </c>
      <c r="L17" s="8">
        <f t="shared" si="5"/>
        <v>15518.25</v>
      </c>
      <c r="M17" s="10">
        <f t="shared" si="6"/>
        <v>18038.25</v>
      </c>
      <c r="N17" s="10">
        <f t="shared" si="7"/>
        <v>18777.81825</v>
      </c>
      <c r="O17" s="10">
        <f t="shared" si="8"/>
        <v>62.592727500000002</v>
      </c>
      <c r="P17" s="8">
        <f t="shared" si="9"/>
        <v>19716.709162499999</v>
      </c>
      <c r="Q17" s="15">
        <f t="shared" si="10"/>
        <v>65.722363874999999</v>
      </c>
    </row>
    <row r="18" spans="1:17" ht="14.25" x14ac:dyDescent="0.2">
      <c r="A18" s="13">
        <v>1.5</v>
      </c>
      <c r="B18" s="8">
        <f t="shared" si="3"/>
        <v>1.5209999999999999</v>
      </c>
      <c r="C18" s="1">
        <v>30</v>
      </c>
      <c r="D18" s="1">
        <v>10</v>
      </c>
      <c r="E18" s="1">
        <v>4</v>
      </c>
      <c r="F18" s="9">
        <f t="shared" si="4"/>
        <v>4.95</v>
      </c>
      <c r="G18" s="1">
        <v>0</v>
      </c>
      <c r="H18" s="1">
        <v>4080</v>
      </c>
      <c r="I18" s="10">
        <f t="shared" si="0"/>
        <v>20196</v>
      </c>
      <c r="J18" s="1">
        <f t="shared" si="1"/>
        <v>0</v>
      </c>
      <c r="K18" s="8">
        <f t="shared" si="2"/>
        <v>495</v>
      </c>
      <c r="L18" s="8">
        <f t="shared" si="5"/>
        <v>20691</v>
      </c>
      <c r="M18" s="10">
        <f t="shared" si="6"/>
        <v>20691</v>
      </c>
      <c r="N18" s="10">
        <f t="shared" si="7"/>
        <v>21539.330999999998</v>
      </c>
      <c r="O18" s="10">
        <f t="shared" si="8"/>
        <v>71.79777</v>
      </c>
      <c r="P18" s="8">
        <f t="shared" si="9"/>
        <v>22616.297549999999</v>
      </c>
      <c r="Q18" s="15">
        <f t="shared" si="10"/>
        <v>75.387658500000001</v>
      </c>
    </row>
    <row r="19" spans="1:17" ht="14.25" x14ac:dyDescent="0.2">
      <c r="A19" s="13">
        <v>2.5</v>
      </c>
      <c r="B19" s="8">
        <f t="shared" si="3"/>
        <v>2.028</v>
      </c>
      <c r="C19" s="1">
        <v>40</v>
      </c>
      <c r="D19" s="1">
        <v>10</v>
      </c>
      <c r="E19" s="1">
        <v>1</v>
      </c>
      <c r="F19" s="9">
        <f t="shared" si="4"/>
        <v>1.65</v>
      </c>
      <c r="G19" s="39">
        <v>1.6</v>
      </c>
      <c r="H19" s="1">
        <v>4080</v>
      </c>
      <c r="I19" s="10">
        <f t="shared" si="0"/>
        <v>6732</v>
      </c>
      <c r="J19" s="1">
        <f t="shared" si="1"/>
        <v>480</v>
      </c>
      <c r="K19" s="8">
        <f t="shared" si="2"/>
        <v>165</v>
      </c>
      <c r="L19" s="8">
        <f t="shared" si="5"/>
        <v>6897</v>
      </c>
      <c r="M19" s="10">
        <f t="shared" si="6"/>
        <v>7377</v>
      </c>
      <c r="N19" s="10">
        <f t="shared" si="7"/>
        <v>7679.4570000000003</v>
      </c>
      <c r="O19" s="10">
        <f t="shared" si="8"/>
        <v>25.598190000000002</v>
      </c>
      <c r="P19" s="8">
        <f t="shared" si="9"/>
        <v>8063.4298500000004</v>
      </c>
      <c r="Q19" s="15">
        <f t="shared" si="10"/>
        <v>26.878099500000001</v>
      </c>
    </row>
    <row r="20" spans="1:17" ht="14.25" x14ac:dyDescent="0.2">
      <c r="A20" s="13">
        <v>2.5</v>
      </c>
      <c r="B20" s="8">
        <f t="shared" si="3"/>
        <v>2.028</v>
      </c>
      <c r="C20" s="1">
        <v>40</v>
      </c>
      <c r="D20" s="1">
        <v>10</v>
      </c>
      <c r="E20" s="1">
        <v>2</v>
      </c>
      <c r="F20" s="9">
        <f t="shared" si="4"/>
        <v>3.3</v>
      </c>
      <c r="G20" s="1">
        <v>11</v>
      </c>
      <c r="H20" s="1">
        <v>4080</v>
      </c>
      <c r="I20" s="10">
        <f t="shared" si="0"/>
        <v>13464</v>
      </c>
      <c r="J20" s="1">
        <f t="shared" si="1"/>
        <v>3300</v>
      </c>
      <c r="K20" s="8">
        <f t="shared" si="2"/>
        <v>330</v>
      </c>
      <c r="L20" s="8">
        <f t="shared" si="5"/>
        <v>13794</v>
      </c>
      <c r="M20" s="10">
        <f t="shared" si="6"/>
        <v>17094</v>
      </c>
      <c r="N20" s="10">
        <f t="shared" si="7"/>
        <v>17794.853999999999</v>
      </c>
      <c r="O20" s="10">
        <f t="shared" si="8"/>
        <v>59.316179999999996</v>
      </c>
      <c r="P20" s="8">
        <f t="shared" si="9"/>
        <v>18684.596699999998</v>
      </c>
      <c r="Q20" s="15">
        <f t="shared" si="10"/>
        <v>62.281988999999996</v>
      </c>
    </row>
    <row r="21" spans="1:17" ht="14.25" x14ac:dyDescent="0.2">
      <c r="A21" s="13">
        <v>2.5</v>
      </c>
      <c r="B21" s="8">
        <f t="shared" si="3"/>
        <v>2.028</v>
      </c>
      <c r="C21" s="1">
        <v>40</v>
      </c>
      <c r="D21" s="1">
        <v>10</v>
      </c>
      <c r="E21" s="1">
        <v>3</v>
      </c>
      <c r="F21" s="9">
        <f t="shared" si="4"/>
        <v>4.95</v>
      </c>
      <c r="G21" s="1">
        <v>13.3</v>
      </c>
      <c r="H21" s="1">
        <v>4080</v>
      </c>
      <c r="I21" s="10">
        <f t="shared" si="0"/>
        <v>20196</v>
      </c>
      <c r="J21" s="1">
        <f t="shared" si="1"/>
        <v>3990</v>
      </c>
      <c r="K21" s="8">
        <f t="shared" si="2"/>
        <v>495</v>
      </c>
      <c r="L21" s="8">
        <f t="shared" si="5"/>
        <v>20691</v>
      </c>
      <c r="M21" s="10">
        <f t="shared" si="6"/>
        <v>24681</v>
      </c>
      <c r="N21" s="10">
        <f t="shared" si="7"/>
        <v>25692.920999999998</v>
      </c>
      <c r="O21" s="10">
        <f t="shared" si="8"/>
        <v>85.643069999999994</v>
      </c>
      <c r="P21" s="8">
        <f t="shared" si="9"/>
        <v>26977.567049999998</v>
      </c>
      <c r="Q21" s="15">
        <f t="shared" si="10"/>
        <v>89.925223499999987</v>
      </c>
    </row>
    <row r="22" spans="1:17" ht="14.25" x14ac:dyDescent="0.2">
      <c r="A22" s="13">
        <v>2.5</v>
      </c>
      <c r="B22" s="8">
        <f t="shared" si="3"/>
        <v>2.028</v>
      </c>
      <c r="C22" s="1">
        <v>40</v>
      </c>
      <c r="D22" s="1">
        <v>10</v>
      </c>
      <c r="E22" s="1">
        <v>4</v>
      </c>
      <c r="F22" s="9">
        <f t="shared" si="4"/>
        <v>6.6</v>
      </c>
      <c r="G22" s="1">
        <v>12.5</v>
      </c>
      <c r="H22" s="1">
        <v>4080</v>
      </c>
      <c r="I22" s="10">
        <f t="shared" si="0"/>
        <v>26928</v>
      </c>
      <c r="J22" s="1">
        <f t="shared" si="1"/>
        <v>3750</v>
      </c>
      <c r="K22" s="8">
        <f t="shared" si="2"/>
        <v>660</v>
      </c>
      <c r="L22" s="8">
        <f t="shared" si="5"/>
        <v>27588</v>
      </c>
      <c r="M22" s="10">
        <f t="shared" si="6"/>
        <v>31338</v>
      </c>
      <c r="N22" s="10">
        <f t="shared" si="7"/>
        <v>32622.858</v>
      </c>
      <c r="O22" s="10">
        <f t="shared" si="8"/>
        <v>108.74286000000001</v>
      </c>
      <c r="P22" s="8">
        <f t="shared" si="9"/>
        <v>34254.000899999999</v>
      </c>
      <c r="Q22" s="15">
        <f t="shared" si="10"/>
        <v>114.180003</v>
      </c>
    </row>
    <row r="23" spans="1:17" ht="14.25" x14ac:dyDescent="0.2">
      <c r="A23" s="13">
        <v>2.5</v>
      </c>
      <c r="B23" s="8">
        <f t="shared" si="3"/>
        <v>2.5350000000000001</v>
      </c>
      <c r="C23" s="1">
        <v>50</v>
      </c>
      <c r="D23" s="1">
        <v>10</v>
      </c>
      <c r="E23" s="1">
        <v>1</v>
      </c>
      <c r="F23" s="9">
        <f t="shared" si="4"/>
        <v>2.0625</v>
      </c>
      <c r="G23" s="39">
        <v>1.6</v>
      </c>
      <c r="H23" s="1">
        <v>4080</v>
      </c>
      <c r="I23" s="10">
        <f t="shared" si="0"/>
        <v>8415</v>
      </c>
      <c r="J23" s="1">
        <f t="shared" si="1"/>
        <v>480</v>
      </c>
      <c r="K23" s="8">
        <f t="shared" si="2"/>
        <v>206.25</v>
      </c>
      <c r="L23" s="8">
        <f t="shared" si="5"/>
        <v>8621.25</v>
      </c>
      <c r="M23" s="10">
        <f t="shared" si="6"/>
        <v>9101.25</v>
      </c>
      <c r="N23" s="10">
        <f t="shared" si="7"/>
        <v>9474.4012500000008</v>
      </c>
      <c r="O23" s="10">
        <f t="shared" si="8"/>
        <v>31.581337500000004</v>
      </c>
      <c r="P23" s="8">
        <f t="shared" si="9"/>
        <v>9948.1213125000013</v>
      </c>
      <c r="Q23" s="15">
        <f t="shared" si="10"/>
        <v>33.160404375000006</v>
      </c>
    </row>
    <row r="24" spans="1:17" ht="14.25" x14ac:dyDescent="0.2">
      <c r="A24" s="13">
        <v>2.5</v>
      </c>
      <c r="B24" s="8">
        <f t="shared" si="3"/>
        <v>2.5350000000000001</v>
      </c>
      <c r="C24" s="1">
        <v>50</v>
      </c>
      <c r="D24" s="1">
        <v>10</v>
      </c>
      <c r="E24" s="1">
        <v>2</v>
      </c>
      <c r="F24" s="9">
        <f t="shared" si="4"/>
        <v>4.125</v>
      </c>
      <c r="G24" s="1">
        <v>19.5</v>
      </c>
      <c r="H24" s="1">
        <v>4080</v>
      </c>
      <c r="I24" s="10">
        <f t="shared" si="0"/>
        <v>16830</v>
      </c>
      <c r="J24" s="1">
        <f t="shared" si="1"/>
        <v>5850</v>
      </c>
      <c r="K24" s="8">
        <f t="shared" si="2"/>
        <v>412.5</v>
      </c>
      <c r="L24" s="8">
        <f t="shared" si="5"/>
        <v>17242.5</v>
      </c>
      <c r="M24" s="10">
        <f t="shared" si="6"/>
        <v>23092.5</v>
      </c>
      <c r="N24" s="10">
        <f t="shared" si="7"/>
        <v>24039.2925</v>
      </c>
      <c r="O24" s="10">
        <f t="shared" si="8"/>
        <v>80.130974999999992</v>
      </c>
      <c r="P24" s="8">
        <f t="shared" si="9"/>
        <v>25241.257125</v>
      </c>
      <c r="Q24" s="15">
        <f t="shared" si="10"/>
        <v>84.13752375</v>
      </c>
    </row>
    <row r="25" spans="1:17" ht="14.25" x14ac:dyDescent="0.2">
      <c r="A25" s="13">
        <v>2.5</v>
      </c>
      <c r="B25" s="8">
        <f t="shared" si="3"/>
        <v>2.5350000000000001</v>
      </c>
      <c r="C25" s="1">
        <v>50</v>
      </c>
      <c r="D25" s="1">
        <v>10</v>
      </c>
      <c r="E25" s="1">
        <v>3</v>
      </c>
      <c r="F25" s="9">
        <f t="shared" si="4"/>
        <v>6.1875</v>
      </c>
      <c r="G25" s="1">
        <v>16.7</v>
      </c>
      <c r="H25" s="1">
        <v>4080</v>
      </c>
      <c r="I25" s="10">
        <f t="shared" si="0"/>
        <v>25245</v>
      </c>
      <c r="J25" s="1">
        <f t="shared" si="1"/>
        <v>5010</v>
      </c>
      <c r="K25" s="8">
        <f t="shared" si="2"/>
        <v>618.75</v>
      </c>
      <c r="L25" s="8">
        <f t="shared" si="5"/>
        <v>25863.75</v>
      </c>
      <c r="M25" s="10">
        <f t="shared" si="6"/>
        <v>30873.75</v>
      </c>
      <c r="N25" s="10">
        <f t="shared" si="7"/>
        <v>32139.57375</v>
      </c>
      <c r="O25" s="10">
        <f t="shared" si="8"/>
        <v>107.1319125</v>
      </c>
      <c r="P25" s="8">
        <f t="shared" si="9"/>
        <v>33746.552437500002</v>
      </c>
      <c r="Q25" s="15">
        <f t="shared" si="10"/>
        <v>112.48850812500001</v>
      </c>
    </row>
    <row r="26" spans="1:17" ht="14.25" x14ac:dyDescent="0.2">
      <c r="A26" s="13">
        <v>2.5</v>
      </c>
      <c r="B26" s="8">
        <f t="shared" si="3"/>
        <v>2.5350000000000001</v>
      </c>
      <c r="C26" s="1">
        <v>50</v>
      </c>
      <c r="D26" s="1">
        <v>10</v>
      </c>
      <c r="E26" s="1">
        <v>4</v>
      </c>
      <c r="F26" s="9">
        <f t="shared" si="4"/>
        <v>8.25</v>
      </c>
      <c r="G26" s="1">
        <v>0</v>
      </c>
      <c r="H26" s="1">
        <v>4080</v>
      </c>
      <c r="I26" s="10">
        <f t="shared" si="0"/>
        <v>33660</v>
      </c>
      <c r="J26" s="1">
        <f t="shared" si="1"/>
        <v>0</v>
      </c>
      <c r="K26" s="8">
        <f t="shared" si="2"/>
        <v>825</v>
      </c>
      <c r="L26" s="8">
        <f t="shared" si="5"/>
        <v>34485</v>
      </c>
      <c r="M26" s="10">
        <f t="shared" si="6"/>
        <v>34485</v>
      </c>
      <c r="N26" s="10">
        <f t="shared" si="7"/>
        <v>35898.885000000002</v>
      </c>
      <c r="O26" s="10">
        <f t="shared" si="8"/>
        <v>119.66295000000001</v>
      </c>
      <c r="P26" s="8">
        <f t="shared" si="9"/>
        <v>37693.829250000003</v>
      </c>
      <c r="Q26" s="15">
        <f t="shared" si="10"/>
        <v>125.64609750000001</v>
      </c>
    </row>
    <row r="27" spans="1:17" ht="14.25" x14ac:dyDescent="0.2">
      <c r="A27" s="13">
        <v>4</v>
      </c>
      <c r="B27" s="8">
        <f t="shared" si="3"/>
        <v>3.0419999999999998</v>
      </c>
      <c r="C27" s="1">
        <v>60</v>
      </c>
      <c r="D27" s="1">
        <v>10</v>
      </c>
      <c r="E27" s="1">
        <v>1</v>
      </c>
      <c r="F27" s="9">
        <f t="shared" si="4"/>
        <v>2.4750000000000001</v>
      </c>
      <c r="G27" s="39">
        <v>2.5</v>
      </c>
      <c r="H27" s="1">
        <v>4080</v>
      </c>
      <c r="I27" s="10">
        <f t="shared" si="0"/>
        <v>10098</v>
      </c>
      <c r="J27" s="1">
        <f t="shared" si="1"/>
        <v>750</v>
      </c>
      <c r="K27" s="8">
        <f t="shared" si="2"/>
        <v>247.5</v>
      </c>
      <c r="L27" s="8">
        <f t="shared" si="5"/>
        <v>10345.5</v>
      </c>
      <c r="M27" s="10">
        <f t="shared" si="6"/>
        <v>11095.5</v>
      </c>
      <c r="N27" s="10">
        <f t="shared" si="7"/>
        <v>11550.415499999999</v>
      </c>
      <c r="O27" s="10">
        <f t="shared" si="8"/>
        <v>38.501384999999999</v>
      </c>
      <c r="P27" s="8">
        <f t="shared" si="9"/>
        <v>12127.936275</v>
      </c>
      <c r="Q27" s="15">
        <f t="shared" si="10"/>
        <v>40.426454249999999</v>
      </c>
    </row>
    <row r="28" spans="1:17" ht="14.25" x14ac:dyDescent="0.2">
      <c r="A28" s="13">
        <v>4</v>
      </c>
      <c r="B28" s="8">
        <f t="shared" si="3"/>
        <v>3.0419999999999998</v>
      </c>
      <c r="C28" s="1">
        <v>60</v>
      </c>
      <c r="D28" s="1">
        <v>10</v>
      </c>
      <c r="E28" s="1">
        <v>2</v>
      </c>
      <c r="F28" s="9">
        <f t="shared" si="4"/>
        <v>4.95</v>
      </c>
      <c r="G28" s="1">
        <v>14.1</v>
      </c>
      <c r="H28" s="1">
        <v>4080</v>
      </c>
      <c r="I28" s="10">
        <f t="shared" si="0"/>
        <v>20196</v>
      </c>
      <c r="J28" s="1">
        <f t="shared" si="1"/>
        <v>4230</v>
      </c>
      <c r="K28" s="8">
        <f t="shared" si="2"/>
        <v>495</v>
      </c>
      <c r="L28" s="8">
        <f t="shared" si="5"/>
        <v>20691</v>
      </c>
      <c r="M28" s="10">
        <f t="shared" si="6"/>
        <v>24921</v>
      </c>
      <c r="N28" s="10">
        <f t="shared" si="7"/>
        <v>25942.760999999999</v>
      </c>
      <c r="O28" s="10">
        <f t="shared" si="8"/>
        <v>86.47587</v>
      </c>
      <c r="P28" s="8">
        <f t="shared" si="9"/>
        <v>27239.89905</v>
      </c>
      <c r="Q28" s="15">
        <f t="shared" si="10"/>
        <v>90.799663499999994</v>
      </c>
    </row>
    <row r="29" spans="1:17" ht="14.25" x14ac:dyDescent="0.2">
      <c r="A29" s="13">
        <v>4</v>
      </c>
      <c r="B29" s="8">
        <f t="shared" si="3"/>
        <v>3.0419999999999998</v>
      </c>
      <c r="C29" s="1">
        <v>60</v>
      </c>
      <c r="D29" s="1">
        <v>10</v>
      </c>
      <c r="E29" s="1">
        <v>3</v>
      </c>
      <c r="F29" s="9">
        <f t="shared" si="4"/>
        <v>7.4249999999999998</v>
      </c>
      <c r="G29" s="1">
        <v>16.5</v>
      </c>
      <c r="H29" s="1">
        <v>4080</v>
      </c>
      <c r="I29" s="10">
        <f t="shared" si="0"/>
        <v>30294</v>
      </c>
      <c r="J29" s="1">
        <f t="shared" si="1"/>
        <v>4950</v>
      </c>
      <c r="K29" s="8">
        <f t="shared" si="2"/>
        <v>742.5</v>
      </c>
      <c r="L29" s="8">
        <f t="shared" si="5"/>
        <v>31036.5</v>
      </c>
      <c r="M29" s="10">
        <f t="shared" si="6"/>
        <v>35986.5</v>
      </c>
      <c r="N29" s="10">
        <f t="shared" si="7"/>
        <v>37461.946499999998</v>
      </c>
      <c r="O29" s="10">
        <f t="shared" si="8"/>
        <v>124.873155</v>
      </c>
      <c r="P29" s="8">
        <f t="shared" si="9"/>
        <v>39335.043825000001</v>
      </c>
      <c r="Q29" s="15">
        <f t="shared" si="10"/>
        <v>131.11681275000001</v>
      </c>
    </row>
    <row r="30" spans="1:17" ht="14.25" x14ac:dyDescent="0.2">
      <c r="A30" s="13">
        <v>4</v>
      </c>
      <c r="B30" s="8">
        <f t="shared" si="3"/>
        <v>3.0419999999999998</v>
      </c>
      <c r="C30" s="1">
        <v>60</v>
      </c>
      <c r="D30" s="1">
        <v>10</v>
      </c>
      <c r="E30" s="1">
        <v>4</v>
      </c>
      <c r="F30" s="9">
        <f t="shared" si="4"/>
        <v>9.9</v>
      </c>
      <c r="G30" s="1">
        <v>12.1</v>
      </c>
      <c r="H30" s="1">
        <v>4080</v>
      </c>
      <c r="I30" s="10">
        <f t="shared" si="0"/>
        <v>40392</v>
      </c>
      <c r="J30" s="1">
        <f t="shared" si="1"/>
        <v>3630</v>
      </c>
      <c r="K30" s="8">
        <f t="shared" si="2"/>
        <v>990</v>
      </c>
      <c r="L30" s="8">
        <f t="shared" si="5"/>
        <v>41382</v>
      </c>
      <c r="M30" s="10">
        <f t="shared" si="6"/>
        <v>45012</v>
      </c>
      <c r="N30" s="10">
        <f t="shared" si="7"/>
        <v>46857.491999999998</v>
      </c>
      <c r="O30" s="10">
        <f t="shared" si="8"/>
        <v>156.19164000000001</v>
      </c>
      <c r="P30" s="8">
        <f t="shared" si="9"/>
        <v>49200.366600000001</v>
      </c>
      <c r="Q30" s="15">
        <f t="shared" si="10"/>
        <v>164.00122200000001</v>
      </c>
    </row>
    <row r="31" spans="1:17" ht="14.25" x14ac:dyDescent="0.2">
      <c r="A31" s="13">
        <v>4</v>
      </c>
      <c r="B31" s="8">
        <f t="shared" si="3"/>
        <v>4.056</v>
      </c>
      <c r="C31" s="1">
        <v>80</v>
      </c>
      <c r="D31" s="1">
        <v>10</v>
      </c>
      <c r="E31" s="1">
        <v>1</v>
      </c>
      <c r="F31" s="9">
        <f t="shared" si="4"/>
        <v>3.3</v>
      </c>
      <c r="G31" s="39">
        <v>2.5</v>
      </c>
      <c r="H31" s="1">
        <v>4080</v>
      </c>
      <c r="I31" s="10">
        <f t="shared" si="0"/>
        <v>13464</v>
      </c>
      <c r="J31" s="1">
        <f t="shared" si="1"/>
        <v>750</v>
      </c>
      <c r="K31" s="8">
        <f t="shared" si="2"/>
        <v>330</v>
      </c>
      <c r="L31" s="8">
        <f t="shared" si="5"/>
        <v>13794</v>
      </c>
      <c r="M31" s="10">
        <f t="shared" si="6"/>
        <v>14544</v>
      </c>
      <c r="N31" s="10">
        <f t="shared" si="7"/>
        <v>15140.304</v>
      </c>
      <c r="O31" s="10">
        <f t="shared" si="8"/>
        <v>50.467680000000001</v>
      </c>
      <c r="P31" s="8">
        <f t="shared" si="9"/>
        <v>15897.3192</v>
      </c>
      <c r="Q31" s="15">
        <f t="shared" si="10"/>
        <v>52.991064000000001</v>
      </c>
    </row>
    <row r="32" spans="1:17" ht="14.25" x14ac:dyDescent="0.2">
      <c r="A32" s="13">
        <v>4</v>
      </c>
      <c r="B32" s="8">
        <f t="shared" si="3"/>
        <v>4.056</v>
      </c>
      <c r="C32" s="1">
        <v>80</v>
      </c>
      <c r="D32" s="1">
        <v>10</v>
      </c>
      <c r="E32" s="1">
        <v>2</v>
      </c>
      <c r="F32" s="9">
        <f t="shared" si="4"/>
        <v>6.6</v>
      </c>
      <c r="G32" s="1">
        <v>0</v>
      </c>
      <c r="H32" s="1">
        <v>4080</v>
      </c>
      <c r="I32" s="10">
        <f t="shared" si="0"/>
        <v>26928</v>
      </c>
      <c r="J32" s="1">
        <f t="shared" si="1"/>
        <v>0</v>
      </c>
      <c r="K32" s="8">
        <f t="shared" si="2"/>
        <v>660</v>
      </c>
      <c r="L32" s="8">
        <f t="shared" si="5"/>
        <v>27588</v>
      </c>
      <c r="M32" s="10">
        <f t="shared" si="6"/>
        <v>27588</v>
      </c>
      <c r="N32" s="10">
        <f t="shared" si="7"/>
        <v>28719.108</v>
      </c>
      <c r="O32" s="10">
        <f t="shared" si="8"/>
        <v>95.730360000000005</v>
      </c>
      <c r="P32" s="8">
        <f t="shared" si="9"/>
        <v>30155.063399999999</v>
      </c>
      <c r="Q32" s="15">
        <f t="shared" si="10"/>
        <v>100.51687799999999</v>
      </c>
    </row>
    <row r="33" spans="1:17" ht="14.25" x14ac:dyDescent="0.2">
      <c r="A33" s="13">
        <v>4</v>
      </c>
      <c r="B33" s="8">
        <f t="shared" si="3"/>
        <v>4.056</v>
      </c>
      <c r="C33" s="1">
        <v>80</v>
      </c>
      <c r="D33" s="1">
        <v>10</v>
      </c>
      <c r="E33" s="1">
        <v>3</v>
      </c>
      <c r="F33" s="9">
        <f t="shared" si="4"/>
        <v>9.9</v>
      </c>
      <c r="G33" s="1">
        <v>19.399999999999999</v>
      </c>
      <c r="H33" s="1">
        <v>4080</v>
      </c>
      <c r="I33" s="10">
        <f t="shared" si="0"/>
        <v>40392</v>
      </c>
      <c r="J33" s="1">
        <f t="shared" si="1"/>
        <v>5820</v>
      </c>
      <c r="K33" s="8">
        <f t="shared" si="2"/>
        <v>990</v>
      </c>
      <c r="L33" s="8">
        <f t="shared" si="5"/>
        <v>41382</v>
      </c>
      <c r="M33" s="10">
        <f t="shared" si="6"/>
        <v>47202</v>
      </c>
      <c r="N33" s="10">
        <f t="shared" si="7"/>
        <v>49137.281999999999</v>
      </c>
      <c r="O33" s="10">
        <f t="shared" si="8"/>
        <v>163.79094000000001</v>
      </c>
      <c r="P33" s="8">
        <f t="shared" si="9"/>
        <v>51594.146099999998</v>
      </c>
      <c r="Q33" s="15">
        <f t="shared" si="10"/>
        <v>171.98048699999998</v>
      </c>
    </row>
    <row r="34" spans="1:17" ht="14.25" x14ac:dyDescent="0.2">
      <c r="A34" s="13">
        <v>4</v>
      </c>
      <c r="B34" s="8">
        <f t="shared" si="3"/>
        <v>4.056</v>
      </c>
      <c r="C34" s="1">
        <v>80</v>
      </c>
      <c r="D34" s="1">
        <v>10</v>
      </c>
      <c r="E34" s="1">
        <v>4</v>
      </c>
      <c r="F34" s="9">
        <f t="shared" si="4"/>
        <v>13.2</v>
      </c>
      <c r="G34" s="1">
        <v>0</v>
      </c>
      <c r="H34" s="1">
        <v>4080</v>
      </c>
      <c r="I34" s="10">
        <f t="shared" si="0"/>
        <v>53856</v>
      </c>
      <c r="J34" s="1">
        <f t="shared" si="1"/>
        <v>0</v>
      </c>
      <c r="K34" s="8">
        <f t="shared" si="2"/>
        <v>1320</v>
      </c>
      <c r="L34" s="8">
        <f t="shared" si="5"/>
        <v>55176</v>
      </c>
      <c r="M34" s="10">
        <f t="shared" si="6"/>
        <v>55176</v>
      </c>
      <c r="N34" s="10">
        <f t="shared" si="7"/>
        <v>57438.216</v>
      </c>
      <c r="O34" s="10">
        <f t="shared" si="8"/>
        <v>191.46072000000001</v>
      </c>
      <c r="P34" s="8">
        <f t="shared" si="9"/>
        <v>60310.126799999998</v>
      </c>
      <c r="Q34" s="15">
        <f t="shared" si="10"/>
        <v>201.03375599999998</v>
      </c>
    </row>
    <row r="35" spans="1:17" ht="14.25" x14ac:dyDescent="0.2">
      <c r="A35" s="3">
        <v>6</v>
      </c>
      <c r="B35" s="8">
        <f t="shared" si="3"/>
        <v>5.07</v>
      </c>
      <c r="C35" s="1">
        <v>100</v>
      </c>
      <c r="D35" s="2">
        <v>10</v>
      </c>
      <c r="E35" s="2">
        <v>1</v>
      </c>
      <c r="F35" s="9">
        <f t="shared" si="4"/>
        <v>4.125</v>
      </c>
      <c r="G35" s="40">
        <v>3</v>
      </c>
      <c r="H35" s="1">
        <v>4080</v>
      </c>
      <c r="I35" s="10">
        <f t="shared" si="0"/>
        <v>16830</v>
      </c>
      <c r="J35" s="1">
        <f t="shared" si="1"/>
        <v>900</v>
      </c>
      <c r="K35" s="8">
        <f t="shared" si="2"/>
        <v>412.5</v>
      </c>
      <c r="L35" s="8">
        <f t="shared" si="5"/>
        <v>17242.5</v>
      </c>
      <c r="M35" s="10">
        <f t="shared" si="6"/>
        <v>18142.5</v>
      </c>
      <c r="N35" s="10">
        <f t="shared" si="7"/>
        <v>18886.342499999999</v>
      </c>
      <c r="O35" s="10">
        <f t="shared" si="8"/>
        <v>62.954474999999995</v>
      </c>
      <c r="P35" s="8">
        <f t="shared" si="9"/>
        <v>19830.659625</v>
      </c>
      <c r="Q35" s="15">
        <f t="shared" si="10"/>
        <v>66.102198749999999</v>
      </c>
    </row>
    <row r="36" spans="1:17" ht="14.25" x14ac:dyDescent="0.2">
      <c r="A36" s="3">
        <v>25</v>
      </c>
      <c r="B36" s="8">
        <f t="shared" si="3"/>
        <v>19.874400000000001</v>
      </c>
      <c r="C36" s="1">
        <v>200</v>
      </c>
      <c r="D36" s="2">
        <v>14</v>
      </c>
      <c r="E36" s="2">
        <v>1</v>
      </c>
      <c r="F36" s="9">
        <f t="shared" si="4"/>
        <v>16.170000000000002</v>
      </c>
      <c r="G36" s="40">
        <v>6</v>
      </c>
      <c r="H36" s="1">
        <v>4080</v>
      </c>
      <c r="I36" s="10">
        <f t="shared" si="0"/>
        <v>65973.600000000006</v>
      </c>
      <c r="J36" s="1">
        <f t="shared" si="1"/>
        <v>1800</v>
      </c>
      <c r="K36" s="8">
        <f t="shared" si="2"/>
        <v>1617.0000000000002</v>
      </c>
      <c r="L36" s="8">
        <f t="shared" si="5"/>
        <v>67590.600000000006</v>
      </c>
      <c r="M36" s="10">
        <f t="shared" si="6"/>
        <v>69390.600000000006</v>
      </c>
      <c r="N36" s="10">
        <f t="shared" si="7"/>
        <v>72235.614600000001</v>
      </c>
      <c r="O36" s="10">
        <f t="shared" si="8"/>
        <v>240.785382</v>
      </c>
      <c r="P36" s="8">
        <f t="shared" si="9"/>
        <v>75847.395329999999</v>
      </c>
      <c r="Q36" s="15">
        <f t="shared" si="10"/>
        <v>252.82465110000001</v>
      </c>
    </row>
    <row r="37" spans="1:17" ht="14.25" x14ac:dyDescent="0.2">
      <c r="A37" s="3">
        <v>35</v>
      </c>
      <c r="B37" s="8">
        <f t="shared" si="3"/>
        <v>29.811599999999999</v>
      </c>
      <c r="C37" s="1">
        <v>300</v>
      </c>
      <c r="D37" s="2">
        <v>14</v>
      </c>
      <c r="E37" s="2">
        <v>1</v>
      </c>
      <c r="F37" s="9">
        <f t="shared" si="4"/>
        <v>24.254999999999999</v>
      </c>
      <c r="G37" s="40">
        <v>6.5</v>
      </c>
      <c r="H37" s="1">
        <v>4080</v>
      </c>
      <c r="I37" s="10">
        <f t="shared" si="0"/>
        <v>98960.4</v>
      </c>
      <c r="J37" s="1">
        <f t="shared" si="1"/>
        <v>1950</v>
      </c>
      <c r="K37" s="8">
        <f t="shared" si="2"/>
        <v>2425.5</v>
      </c>
      <c r="L37" s="8">
        <f t="shared" si="5"/>
        <v>101385.9</v>
      </c>
      <c r="M37" s="10">
        <f t="shared" si="6"/>
        <v>103335.9</v>
      </c>
      <c r="N37" s="10">
        <f t="shared" si="7"/>
        <v>107572.67189999999</v>
      </c>
      <c r="O37" s="10">
        <f t="shared" si="8"/>
        <v>358.57557299999996</v>
      </c>
      <c r="P37" s="8">
        <f t="shared" si="9"/>
        <v>112951.30549499998</v>
      </c>
      <c r="Q37" s="15">
        <f t="shared" si="10"/>
        <v>376.50435164999993</v>
      </c>
    </row>
    <row r="38" spans="1:17" ht="14.25" x14ac:dyDescent="0.2">
      <c r="A38" s="17">
        <v>50</v>
      </c>
      <c r="B38" s="8">
        <f t="shared" si="3"/>
        <v>39.748800000000003</v>
      </c>
      <c r="C38" s="1">
        <v>400</v>
      </c>
      <c r="D38" s="2">
        <v>14</v>
      </c>
      <c r="E38" s="2">
        <v>1</v>
      </c>
      <c r="F38" s="9">
        <f t="shared" si="4"/>
        <v>32.340000000000003</v>
      </c>
      <c r="G38" s="41">
        <v>10.5</v>
      </c>
      <c r="H38" s="1">
        <v>4080</v>
      </c>
      <c r="I38" s="10">
        <f t="shared" si="0"/>
        <v>131947.20000000001</v>
      </c>
      <c r="J38" s="1">
        <f t="shared" si="1"/>
        <v>3150</v>
      </c>
      <c r="K38" s="8">
        <f t="shared" si="2"/>
        <v>3234.0000000000005</v>
      </c>
      <c r="L38" s="8">
        <f t="shared" si="5"/>
        <v>135181.20000000001</v>
      </c>
      <c r="M38" s="10">
        <f t="shared" si="6"/>
        <v>138331.20000000001</v>
      </c>
      <c r="N38" s="10">
        <f t="shared" si="7"/>
        <v>144002.77920000002</v>
      </c>
      <c r="O38" s="10">
        <f t="shared" si="8"/>
        <v>480.00926400000009</v>
      </c>
      <c r="P38" s="8">
        <f t="shared" si="9"/>
        <v>151202.91816000003</v>
      </c>
      <c r="Q38" s="15">
        <f t="shared" si="10"/>
        <v>504.0097272000001</v>
      </c>
    </row>
    <row r="39" spans="1:17" ht="14.25" x14ac:dyDescent="0.2">
      <c r="A39" s="17">
        <v>70</v>
      </c>
      <c r="B39" s="8">
        <f t="shared" si="3"/>
        <v>59.623199999999997</v>
      </c>
      <c r="C39" s="1">
        <v>600</v>
      </c>
      <c r="D39" s="2">
        <v>14</v>
      </c>
      <c r="E39" s="2">
        <v>1</v>
      </c>
      <c r="F39" s="9">
        <f t="shared" si="4"/>
        <v>48.51</v>
      </c>
      <c r="G39" s="41">
        <v>16</v>
      </c>
      <c r="H39" s="1">
        <v>4080</v>
      </c>
      <c r="I39" s="10">
        <f t="shared" si="0"/>
        <v>197920.8</v>
      </c>
      <c r="J39" s="1">
        <f t="shared" si="1"/>
        <v>4800</v>
      </c>
      <c r="K39" s="8">
        <f t="shared" si="2"/>
        <v>4851</v>
      </c>
      <c r="L39" s="8">
        <f t="shared" si="5"/>
        <v>202771.8</v>
      </c>
      <c r="M39" s="10">
        <f t="shared" si="6"/>
        <v>207571.8</v>
      </c>
      <c r="N39" s="10">
        <f t="shared" si="7"/>
        <v>216082.2438</v>
      </c>
      <c r="O39" s="10">
        <f t="shared" si="8"/>
        <v>720.27414599999997</v>
      </c>
      <c r="P39" s="8">
        <f t="shared" si="9"/>
        <v>226886.35599000001</v>
      </c>
      <c r="Q39" s="15">
        <f t="shared" si="10"/>
        <v>756.28785330000005</v>
      </c>
    </row>
    <row r="40" spans="1:17" ht="14.25" x14ac:dyDescent="0.2">
      <c r="A40" s="17">
        <v>95</v>
      </c>
      <c r="B40" s="8">
        <f t="shared" si="3"/>
        <v>79.497600000000006</v>
      </c>
      <c r="C40" s="1">
        <v>800</v>
      </c>
      <c r="D40" s="2">
        <v>14</v>
      </c>
      <c r="E40" s="2">
        <v>1</v>
      </c>
      <c r="F40" s="9">
        <f t="shared" si="4"/>
        <v>64.680000000000007</v>
      </c>
      <c r="G40" s="41">
        <v>20</v>
      </c>
      <c r="H40" s="1">
        <v>4080</v>
      </c>
      <c r="I40" s="10">
        <f t="shared" si="0"/>
        <v>263894.40000000002</v>
      </c>
      <c r="J40" s="1">
        <f t="shared" si="1"/>
        <v>6000</v>
      </c>
      <c r="K40" s="8">
        <f t="shared" si="2"/>
        <v>6468.0000000000009</v>
      </c>
      <c r="L40" s="8">
        <f t="shared" si="5"/>
        <v>270362.40000000002</v>
      </c>
      <c r="M40" s="10">
        <f t="shared" si="6"/>
        <v>276362.40000000002</v>
      </c>
      <c r="N40" s="10">
        <f t="shared" si="7"/>
        <v>287693.25840000005</v>
      </c>
      <c r="O40" s="10">
        <f t="shared" si="8"/>
        <v>958.97752800000012</v>
      </c>
      <c r="P40" s="8">
        <f t="shared" si="9"/>
        <v>302077.92132000008</v>
      </c>
      <c r="Q40" s="15">
        <f t="shared" si="10"/>
        <v>1006.9264044000003</v>
      </c>
    </row>
  </sheetData>
  <mergeCells count="1">
    <mergeCell ref="A1:Q1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zoomScaleNormal="100" workbookViewId="0">
      <selection sqref="A1:Q1"/>
    </sheetView>
  </sheetViews>
  <sheetFormatPr defaultColWidth="9.42578125" defaultRowHeight="15" x14ac:dyDescent="0.25"/>
  <cols>
    <col min="1" max="1" width="4.42578125" bestFit="1" customWidth="1"/>
    <col min="2" max="2" width="5.85546875" bestFit="1" customWidth="1"/>
    <col min="3" max="3" width="6.28515625" bestFit="1" customWidth="1"/>
    <col min="4" max="5" width="5" bestFit="1" customWidth="1"/>
    <col min="6" max="6" width="7.28515625" bestFit="1" customWidth="1"/>
    <col min="7" max="7" width="5.42578125" bestFit="1" customWidth="1"/>
    <col min="8" max="8" width="9.140625" bestFit="1" customWidth="1"/>
    <col min="9" max="9" width="9.42578125" customWidth="1"/>
    <col min="10" max="10" width="9" bestFit="1" customWidth="1"/>
    <col min="11" max="11" width="8.28515625" bestFit="1" customWidth="1"/>
    <col min="12" max="12" width="11.42578125" bestFit="1" customWidth="1"/>
    <col min="13" max="13" width="9.85546875" bestFit="1" customWidth="1"/>
    <col min="14" max="14" width="9.42578125" bestFit="1" customWidth="1"/>
    <col min="15" max="15" width="9.140625" bestFit="1" customWidth="1"/>
    <col min="16" max="16" width="10.5703125" bestFit="1" customWidth="1"/>
    <col min="17" max="17" width="12" style="11" bestFit="1" customWidth="1"/>
  </cols>
  <sheetData>
    <row r="1" spans="1:17" ht="23.25" x14ac:dyDescent="0.35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s="31" customFormat="1" ht="42.75" x14ac:dyDescent="0.3">
      <c r="A2" s="19" t="s">
        <v>1</v>
      </c>
      <c r="B2" s="20" t="s">
        <v>6</v>
      </c>
      <c r="C2" s="19" t="s">
        <v>7</v>
      </c>
      <c r="D2" s="19" t="s">
        <v>2</v>
      </c>
      <c r="E2" s="19" t="s">
        <v>8</v>
      </c>
      <c r="F2" s="21" t="s">
        <v>11</v>
      </c>
      <c r="G2" s="19" t="s">
        <v>10</v>
      </c>
      <c r="H2" s="19" t="s">
        <v>9</v>
      </c>
      <c r="I2" s="19" t="s">
        <v>12</v>
      </c>
      <c r="J2" s="19" t="s">
        <v>13</v>
      </c>
      <c r="K2" s="20" t="s">
        <v>14</v>
      </c>
      <c r="L2" s="20" t="s">
        <v>15</v>
      </c>
      <c r="M2" s="19" t="s">
        <v>16</v>
      </c>
      <c r="N2" s="19" t="s">
        <v>4</v>
      </c>
      <c r="O2" s="19" t="s">
        <v>17</v>
      </c>
      <c r="P2" s="19" t="s">
        <v>5</v>
      </c>
      <c r="Q2" s="19" t="s">
        <v>18</v>
      </c>
    </row>
    <row r="3" spans="1:17" x14ac:dyDescent="0.25">
      <c r="A3" s="3">
        <v>1.5</v>
      </c>
      <c r="B3" s="5">
        <f>SUM(D3*D3*C3*507/1000000)</f>
        <v>0.95062500000000005</v>
      </c>
      <c r="C3" s="3">
        <v>3</v>
      </c>
      <c r="D3" s="3">
        <v>25</v>
      </c>
      <c r="E3" s="3">
        <v>1</v>
      </c>
      <c r="F3" s="5">
        <f>SUM(D3*D3*C3*E3*330/800000)</f>
        <v>0.7734375</v>
      </c>
      <c r="G3" s="42">
        <v>1.3</v>
      </c>
      <c r="H3" s="7">
        <v>4080</v>
      </c>
      <c r="I3" s="5">
        <f t="shared" ref="I3:I39" si="0">SUM(F3*H3)</f>
        <v>3155.625</v>
      </c>
      <c r="J3" s="5">
        <f t="shared" ref="J3:J39" si="1">SUM(G3*300)</f>
        <v>390</v>
      </c>
      <c r="K3" s="5">
        <f t="shared" ref="K3:K39" si="2">SUM(F3*50)</f>
        <v>38.671875</v>
      </c>
      <c r="L3" s="5">
        <f>SUM(I3+K3)</f>
        <v>3194.296875</v>
      </c>
      <c r="M3" s="5">
        <f>SUM(L3+J3)</f>
        <v>3584.296875</v>
      </c>
      <c r="N3" s="5">
        <f>M3+(M3*4.1%)</f>
        <v>3731.2530468750001</v>
      </c>
      <c r="O3" s="5">
        <f>SUM(N3/300)</f>
        <v>12.437510156250001</v>
      </c>
      <c r="P3" s="5">
        <f>N3+(N3*5%)</f>
        <v>3917.8156992187501</v>
      </c>
      <c r="Q3" s="16">
        <f>SUM(P3/300)</f>
        <v>13.0593856640625</v>
      </c>
    </row>
    <row r="4" spans="1:17" x14ac:dyDescent="0.25">
      <c r="A4" s="3">
        <v>1.5</v>
      </c>
      <c r="B4" s="5">
        <f t="shared" ref="B4:B39" si="3">SUM(D4*D4*C4*507/1000000)</f>
        <v>0.95062500000000005</v>
      </c>
      <c r="C4" s="3">
        <v>3</v>
      </c>
      <c r="D4" s="3">
        <v>25</v>
      </c>
      <c r="E4" s="3">
        <v>2</v>
      </c>
      <c r="F4" s="5">
        <f t="shared" ref="F4:F39" si="4">SUM(D4*D4*C4*E4*330/800000)</f>
        <v>1.546875</v>
      </c>
      <c r="G4" s="6">
        <v>6.7</v>
      </c>
      <c r="H4" s="7">
        <v>4080</v>
      </c>
      <c r="I4" s="5">
        <f t="shared" si="0"/>
        <v>6311.25</v>
      </c>
      <c r="J4" s="5">
        <f t="shared" si="1"/>
        <v>2010</v>
      </c>
      <c r="K4" s="5">
        <f t="shared" si="2"/>
        <v>77.34375</v>
      </c>
      <c r="L4" s="5">
        <f t="shared" ref="L4:L39" si="5">SUM(I4+K4)</f>
        <v>6388.59375</v>
      </c>
      <c r="M4" s="5">
        <f t="shared" ref="M4:M39" si="6">SUM(L4+J4)</f>
        <v>8398.59375</v>
      </c>
      <c r="N4" s="5">
        <f t="shared" ref="N4:N39" si="7">M4+(M4*4.1%)</f>
        <v>8742.9360937500005</v>
      </c>
      <c r="O4" s="5">
        <f t="shared" ref="O4:O39" si="8">SUM(N4/300)</f>
        <v>29.143120312500002</v>
      </c>
      <c r="P4" s="5">
        <f t="shared" ref="P4:P39" si="9">N4+(N4*5%)</f>
        <v>9180.0828984375003</v>
      </c>
      <c r="Q4" s="16">
        <f t="shared" ref="Q4:Q39" si="10">SUM(P4/300)</f>
        <v>30.600276328125002</v>
      </c>
    </row>
    <row r="5" spans="1:17" x14ac:dyDescent="0.25">
      <c r="A5" s="3">
        <v>1.5</v>
      </c>
      <c r="B5" s="5">
        <f t="shared" si="3"/>
        <v>0.95062500000000005</v>
      </c>
      <c r="C5" s="3">
        <v>3</v>
      </c>
      <c r="D5" s="3">
        <v>25</v>
      </c>
      <c r="E5" s="3">
        <v>3</v>
      </c>
      <c r="F5" s="5">
        <f t="shared" si="4"/>
        <v>2.3203125</v>
      </c>
      <c r="G5" s="6">
        <v>9</v>
      </c>
      <c r="H5" s="7">
        <v>4080</v>
      </c>
      <c r="I5" s="5">
        <f t="shared" si="0"/>
        <v>9466.875</v>
      </c>
      <c r="J5" s="5">
        <f t="shared" si="1"/>
        <v>2700</v>
      </c>
      <c r="K5" s="5">
        <f t="shared" si="2"/>
        <v>116.015625</v>
      </c>
      <c r="L5" s="5">
        <f t="shared" si="5"/>
        <v>9582.890625</v>
      </c>
      <c r="M5" s="5">
        <f t="shared" si="6"/>
        <v>12282.890625</v>
      </c>
      <c r="N5" s="5">
        <f t="shared" si="7"/>
        <v>12786.489140625001</v>
      </c>
      <c r="O5" s="5">
        <f t="shared" si="8"/>
        <v>42.621630468750006</v>
      </c>
      <c r="P5" s="5">
        <f t="shared" si="9"/>
        <v>13425.813597656252</v>
      </c>
      <c r="Q5" s="16">
        <f t="shared" si="10"/>
        <v>44.752711992187507</v>
      </c>
    </row>
    <row r="6" spans="1:17" x14ac:dyDescent="0.25">
      <c r="A6" s="3">
        <v>1.5</v>
      </c>
      <c r="B6" s="5">
        <f t="shared" si="3"/>
        <v>0.95062500000000005</v>
      </c>
      <c r="C6" s="3">
        <v>3</v>
      </c>
      <c r="D6" s="3">
        <v>25</v>
      </c>
      <c r="E6" s="3">
        <v>4</v>
      </c>
      <c r="F6" s="5">
        <f t="shared" si="4"/>
        <v>3.09375</v>
      </c>
      <c r="G6" s="6">
        <v>11.5</v>
      </c>
      <c r="H6" s="7">
        <v>4080</v>
      </c>
      <c r="I6" s="5">
        <f t="shared" si="0"/>
        <v>12622.5</v>
      </c>
      <c r="J6" s="5">
        <f t="shared" si="1"/>
        <v>3450</v>
      </c>
      <c r="K6" s="5">
        <f t="shared" si="2"/>
        <v>154.6875</v>
      </c>
      <c r="L6" s="5">
        <f t="shared" si="5"/>
        <v>12777.1875</v>
      </c>
      <c r="M6" s="5">
        <f t="shared" si="6"/>
        <v>16227.1875</v>
      </c>
      <c r="N6" s="5">
        <f t="shared" si="7"/>
        <v>16892.502187499998</v>
      </c>
      <c r="O6" s="5">
        <f t="shared" si="8"/>
        <v>56.308340624999992</v>
      </c>
      <c r="P6" s="5">
        <f t="shared" si="9"/>
        <v>17737.127296874998</v>
      </c>
      <c r="Q6" s="16">
        <f t="shared" si="10"/>
        <v>59.123757656249992</v>
      </c>
    </row>
    <row r="7" spans="1:17" x14ac:dyDescent="0.25">
      <c r="A7" s="3">
        <v>2.5</v>
      </c>
      <c r="B7" s="5">
        <f t="shared" si="3"/>
        <v>2.2181250000000001</v>
      </c>
      <c r="C7" s="3">
        <v>7</v>
      </c>
      <c r="D7" s="3">
        <v>25</v>
      </c>
      <c r="E7" s="3">
        <v>1</v>
      </c>
      <c r="F7" s="5">
        <f t="shared" si="4"/>
        <v>1.8046875</v>
      </c>
      <c r="G7" s="42">
        <v>1.6</v>
      </c>
      <c r="H7" s="7">
        <v>4080</v>
      </c>
      <c r="I7" s="5">
        <f t="shared" si="0"/>
        <v>7363.125</v>
      </c>
      <c r="J7" s="5">
        <f t="shared" si="1"/>
        <v>480</v>
      </c>
      <c r="K7" s="5">
        <f t="shared" si="2"/>
        <v>90.234375</v>
      </c>
      <c r="L7" s="5">
        <f t="shared" si="5"/>
        <v>7453.359375</v>
      </c>
      <c r="M7" s="5">
        <f t="shared" si="6"/>
        <v>7933.359375</v>
      </c>
      <c r="N7" s="5">
        <f t="shared" si="7"/>
        <v>8258.6271093750001</v>
      </c>
      <c r="O7" s="5">
        <f t="shared" si="8"/>
        <v>27.528757031249999</v>
      </c>
      <c r="P7" s="5">
        <f t="shared" si="9"/>
        <v>8671.5584648437507</v>
      </c>
      <c r="Q7" s="16">
        <f t="shared" si="10"/>
        <v>28.905194882812502</v>
      </c>
    </row>
    <row r="8" spans="1:17" x14ac:dyDescent="0.25">
      <c r="A8" s="3">
        <v>2.5</v>
      </c>
      <c r="B8" s="5">
        <f t="shared" si="3"/>
        <v>2.2181250000000001</v>
      </c>
      <c r="C8" s="3">
        <v>7</v>
      </c>
      <c r="D8" s="3">
        <v>25</v>
      </c>
      <c r="E8" s="3">
        <v>2</v>
      </c>
      <c r="F8" s="5">
        <f t="shared" si="4"/>
        <v>3.609375</v>
      </c>
      <c r="G8" s="6">
        <v>11</v>
      </c>
      <c r="H8" s="7">
        <v>4080</v>
      </c>
      <c r="I8" s="5">
        <f t="shared" si="0"/>
        <v>14726.25</v>
      </c>
      <c r="J8" s="5">
        <f t="shared" si="1"/>
        <v>3300</v>
      </c>
      <c r="K8" s="5">
        <f t="shared" si="2"/>
        <v>180.46875</v>
      </c>
      <c r="L8" s="5">
        <f t="shared" si="5"/>
        <v>14906.71875</v>
      </c>
      <c r="M8" s="5">
        <f t="shared" si="6"/>
        <v>18206.71875</v>
      </c>
      <c r="N8" s="5">
        <f t="shared" si="7"/>
        <v>18953.194218749999</v>
      </c>
      <c r="O8" s="5">
        <f t="shared" si="8"/>
        <v>63.177314062499995</v>
      </c>
      <c r="P8" s="5">
        <f t="shared" si="9"/>
        <v>19900.853929687499</v>
      </c>
      <c r="Q8" s="16">
        <f t="shared" si="10"/>
        <v>66.336179765624991</v>
      </c>
    </row>
    <row r="9" spans="1:17" x14ac:dyDescent="0.25">
      <c r="A9" s="3">
        <v>2.5</v>
      </c>
      <c r="B9" s="5">
        <f t="shared" si="3"/>
        <v>2.2181250000000001</v>
      </c>
      <c r="C9" s="3">
        <v>7</v>
      </c>
      <c r="D9" s="3">
        <v>25</v>
      </c>
      <c r="E9" s="3">
        <v>3</v>
      </c>
      <c r="F9" s="5">
        <f t="shared" si="4"/>
        <v>5.4140625</v>
      </c>
      <c r="G9" s="6">
        <v>13.3</v>
      </c>
      <c r="H9" s="7">
        <v>4080</v>
      </c>
      <c r="I9" s="5">
        <f t="shared" si="0"/>
        <v>22089.375</v>
      </c>
      <c r="J9" s="5">
        <f t="shared" si="1"/>
        <v>3990</v>
      </c>
      <c r="K9" s="5">
        <f t="shared" si="2"/>
        <v>270.703125</v>
      </c>
      <c r="L9" s="5">
        <f t="shared" si="5"/>
        <v>22360.078125</v>
      </c>
      <c r="M9" s="5">
        <f t="shared" si="6"/>
        <v>26350.078125</v>
      </c>
      <c r="N9" s="5">
        <f t="shared" si="7"/>
        <v>27430.431328125</v>
      </c>
      <c r="O9" s="5">
        <f t="shared" si="8"/>
        <v>91.434771093750001</v>
      </c>
      <c r="P9" s="5">
        <f t="shared" si="9"/>
        <v>28801.952894531249</v>
      </c>
      <c r="Q9" s="16">
        <f t="shared" si="10"/>
        <v>96.0065096484375</v>
      </c>
    </row>
    <row r="10" spans="1:17" x14ac:dyDescent="0.25">
      <c r="A10" s="3">
        <v>2.5</v>
      </c>
      <c r="B10" s="5">
        <f t="shared" si="3"/>
        <v>2.2181250000000001</v>
      </c>
      <c r="C10" s="3">
        <v>7</v>
      </c>
      <c r="D10" s="3">
        <v>25</v>
      </c>
      <c r="E10" s="3">
        <v>4</v>
      </c>
      <c r="F10" s="5">
        <f t="shared" si="4"/>
        <v>7.21875</v>
      </c>
      <c r="G10" s="6">
        <v>12.5</v>
      </c>
      <c r="H10" s="7">
        <v>4080</v>
      </c>
      <c r="I10" s="5">
        <f t="shared" si="0"/>
        <v>29452.5</v>
      </c>
      <c r="J10" s="5">
        <f t="shared" si="1"/>
        <v>3750</v>
      </c>
      <c r="K10" s="5">
        <f t="shared" si="2"/>
        <v>360.9375</v>
      </c>
      <c r="L10" s="5">
        <f t="shared" si="5"/>
        <v>29813.4375</v>
      </c>
      <c r="M10" s="5">
        <f t="shared" si="6"/>
        <v>33563.4375</v>
      </c>
      <c r="N10" s="5">
        <f t="shared" si="7"/>
        <v>34939.538437499999</v>
      </c>
      <c r="O10" s="5">
        <f t="shared" si="8"/>
        <v>116.46512812499999</v>
      </c>
      <c r="P10" s="5">
        <f t="shared" si="9"/>
        <v>36686.515359375</v>
      </c>
      <c r="Q10" s="16">
        <f t="shared" si="10"/>
        <v>122.28838453125</v>
      </c>
    </row>
    <row r="11" spans="1:17" x14ac:dyDescent="0.25">
      <c r="A11" s="3">
        <v>4</v>
      </c>
      <c r="B11" s="5">
        <f t="shared" si="3"/>
        <v>3.1941000000000002</v>
      </c>
      <c r="C11" s="3">
        <v>7</v>
      </c>
      <c r="D11" s="3">
        <v>30</v>
      </c>
      <c r="E11" s="3">
        <v>1</v>
      </c>
      <c r="F11" s="5">
        <f t="shared" si="4"/>
        <v>2.5987499999999999</v>
      </c>
      <c r="G11" s="42">
        <v>2.5</v>
      </c>
      <c r="H11" s="7">
        <v>4080</v>
      </c>
      <c r="I11" s="5">
        <f t="shared" si="0"/>
        <v>10602.9</v>
      </c>
      <c r="J11" s="5">
        <f t="shared" si="1"/>
        <v>750</v>
      </c>
      <c r="K11" s="5">
        <f t="shared" si="2"/>
        <v>129.9375</v>
      </c>
      <c r="L11" s="5">
        <f t="shared" si="5"/>
        <v>10732.8375</v>
      </c>
      <c r="M11" s="5">
        <f t="shared" si="6"/>
        <v>11482.8375</v>
      </c>
      <c r="N11" s="5">
        <f t="shared" si="7"/>
        <v>11953.6338375</v>
      </c>
      <c r="O11" s="5">
        <f t="shared" si="8"/>
        <v>39.845446124999995</v>
      </c>
      <c r="P11" s="5">
        <f t="shared" si="9"/>
        <v>12551.315529374999</v>
      </c>
      <c r="Q11" s="16">
        <f t="shared" si="10"/>
        <v>41.837718431249996</v>
      </c>
    </row>
    <row r="12" spans="1:17" x14ac:dyDescent="0.25">
      <c r="A12" s="3">
        <v>4</v>
      </c>
      <c r="B12" s="5">
        <f t="shared" si="3"/>
        <v>3.1941000000000002</v>
      </c>
      <c r="C12" s="3">
        <v>7</v>
      </c>
      <c r="D12" s="3">
        <v>30</v>
      </c>
      <c r="E12" s="3">
        <v>2</v>
      </c>
      <c r="F12" s="5">
        <f t="shared" si="4"/>
        <v>5.1974999999999998</v>
      </c>
      <c r="G12" s="6">
        <v>14.1</v>
      </c>
      <c r="H12" s="7">
        <v>4080</v>
      </c>
      <c r="I12" s="5">
        <f t="shared" si="0"/>
        <v>21205.8</v>
      </c>
      <c r="J12" s="5">
        <f t="shared" si="1"/>
        <v>4230</v>
      </c>
      <c r="K12" s="5">
        <f t="shared" si="2"/>
        <v>259.875</v>
      </c>
      <c r="L12" s="5">
        <f t="shared" si="5"/>
        <v>21465.674999999999</v>
      </c>
      <c r="M12" s="5">
        <f t="shared" si="6"/>
        <v>25695.674999999999</v>
      </c>
      <c r="N12" s="5">
        <f t="shared" si="7"/>
        <v>26749.197674999999</v>
      </c>
      <c r="O12" s="5">
        <f t="shared" si="8"/>
        <v>89.163992249999993</v>
      </c>
      <c r="P12" s="5">
        <f t="shared" si="9"/>
        <v>28086.657558750001</v>
      </c>
      <c r="Q12" s="16">
        <f t="shared" si="10"/>
        <v>93.622191862500003</v>
      </c>
    </row>
    <row r="13" spans="1:17" x14ac:dyDescent="0.25">
      <c r="A13" s="3">
        <v>4</v>
      </c>
      <c r="B13" s="5">
        <f t="shared" si="3"/>
        <v>3.1941000000000002</v>
      </c>
      <c r="C13" s="3">
        <v>7</v>
      </c>
      <c r="D13" s="3">
        <v>30</v>
      </c>
      <c r="E13" s="3">
        <v>3</v>
      </c>
      <c r="F13" s="5">
        <f t="shared" si="4"/>
        <v>7.7962499999999997</v>
      </c>
      <c r="G13" s="6">
        <v>16.5</v>
      </c>
      <c r="H13" s="7">
        <v>4080</v>
      </c>
      <c r="I13" s="5">
        <f t="shared" si="0"/>
        <v>31808.699999999997</v>
      </c>
      <c r="J13" s="5">
        <f t="shared" si="1"/>
        <v>4950</v>
      </c>
      <c r="K13" s="5">
        <f t="shared" si="2"/>
        <v>389.8125</v>
      </c>
      <c r="L13" s="5">
        <f t="shared" si="5"/>
        <v>32198.512499999997</v>
      </c>
      <c r="M13" s="5">
        <f t="shared" si="6"/>
        <v>37148.512499999997</v>
      </c>
      <c r="N13" s="5">
        <f t="shared" si="7"/>
        <v>38671.601512499998</v>
      </c>
      <c r="O13" s="5">
        <f t="shared" si="8"/>
        <v>128.90533837499999</v>
      </c>
      <c r="P13" s="5">
        <f t="shared" si="9"/>
        <v>40605.181588125</v>
      </c>
      <c r="Q13" s="16">
        <f t="shared" si="10"/>
        <v>135.35060529374999</v>
      </c>
    </row>
    <row r="14" spans="1:17" x14ac:dyDescent="0.25">
      <c r="A14" s="3">
        <v>4</v>
      </c>
      <c r="B14" s="5">
        <f t="shared" si="3"/>
        <v>3.1941000000000002</v>
      </c>
      <c r="C14" s="3">
        <v>7</v>
      </c>
      <c r="D14" s="3">
        <v>30</v>
      </c>
      <c r="E14" s="3">
        <v>4</v>
      </c>
      <c r="F14" s="5">
        <f t="shared" si="4"/>
        <v>10.395</v>
      </c>
      <c r="G14" s="5">
        <v>19.309999999999999</v>
      </c>
      <c r="H14" s="7">
        <v>4080</v>
      </c>
      <c r="I14" s="5">
        <f t="shared" si="0"/>
        <v>42411.6</v>
      </c>
      <c r="J14" s="5">
        <f t="shared" si="1"/>
        <v>5793</v>
      </c>
      <c r="K14" s="5">
        <f t="shared" si="2"/>
        <v>519.75</v>
      </c>
      <c r="L14" s="5">
        <f t="shared" si="5"/>
        <v>42931.35</v>
      </c>
      <c r="M14" s="5">
        <f t="shared" si="6"/>
        <v>48724.35</v>
      </c>
      <c r="N14" s="5">
        <f t="shared" si="7"/>
        <v>50722.048349999997</v>
      </c>
      <c r="O14" s="5">
        <f t="shared" si="8"/>
        <v>169.07349449999998</v>
      </c>
      <c r="P14" s="5">
        <f t="shared" si="9"/>
        <v>53258.150767499996</v>
      </c>
      <c r="Q14" s="16">
        <f t="shared" si="10"/>
        <v>177.52716922499999</v>
      </c>
    </row>
    <row r="15" spans="1:17" x14ac:dyDescent="0.25">
      <c r="A15" s="3">
        <v>6</v>
      </c>
      <c r="B15" s="5">
        <f t="shared" si="3"/>
        <v>5.1247559999999996</v>
      </c>
      <c r="C15" s="3">
        <v>7</v>
      </c>
      <c r="D15" s="3">
        <v>38</v>
      </c>
      <c r="E15" s="3">
        <v>1</v>
      </c>
      <c r="F15" s="5">
        <f t="shared" si="4"/>
        <v>4.1695500000000001</v>
      </c>
      <c r="G15" s="22">
        <v>3</v>
      </c>
      <c r="H15" s="7">
        <v>4080</v>
      </c>
      <c r="I15" s="5">
        <f t="shared" si="0"/>
        <v>17011.763999999999</v>
      </c>
      <c r="J15" s="5">
        <f t="shared" si="1"/>
        <v>900</v>
      </c>
      <c r="K15" s="5">
        <f t="shared" si="2"/>
        <v>208.47749999999999</v>
      </c>
      <c r="L15" s="5">
        <f t="shared" si="5"/>
        <v>17220.2415</v>
      </c>
      <c r="M15" s="5">
        <f t="shared" si="6"/>
        <v>18120.2415</v>
      </c>
      <c r="N15" s="5">
        <f t="shared" si="7"/>
        <v>18863.1714015</v>
      </c>
      <c r="O15" s="5">
        <f t="shared" si="8"/>
        <v>62.877238005000002</v>
      </c>
      <c r="P15" s="5">
        <f t="shared" si="9"/>
        <v>19806.329971575</v>
      </c>
      <c r="Q15" s="16">
        <f t="shared" si="10"/>
        <v>66.021099905249997</v>
      </c>
    </row>
    <row r="16" spans="1:17" x14ac:dyDescent="0.25">
      <c r="A16" s="3">
        <v>6</v>
      </c>
      <c r="B16" s="5">
        <f t="shared" si="3"/>
        <v>5.1247559999999996</v>
      </c>
      <c r="C16" s="3">
        <v>7</v>
      </c>
      <c r="D16" s="3">
        <v>38</v>
      </c>
      <c r="E16" s="3">
        <v>2</v>
      </c>
      <c r="F16" s="5">
        <f t="shared" si="4"/>
        <v>8.3391000000000002</v>
      </c>
      <c r="G16" s="5">
        <v>0</v>
      </c>
      <c r="H16" s="7">
        <v>4080</v>
      </c>
      <c r="I16" s="5">
        <f t="shared" si="0"/>
        <v>34023.527999999998</v>
      </c>
      <c r="J16" s="5">
        <f t="shared" si="1"/>
        <v>0</v>
      </c>
      <c r="K16" s="5">
        <f t="shared" si="2"/>
        <v>416.95499999999998</v>
      </c>
      <c r="L16" s="5">
        <f t="shared" si="5"/>
        <v>34440.483</v>
      </c>
      <c r="M16" s="5">
        <f t="shared" si="6"/>
        <v>34440.483</v>
      </c>
      <c r="N16" s="5">
        <f t="shared" si="7"/>
        <v>35852.542802999997</v>
      </c>
      <c r="O16" s="5">
        <f t="shared" si="8"/>
        <v>119.50847601</v>
      </c>
      <c r="P16" s="5">
        <f t="shared" si="9"/>
        <v>37645.169943149995</v>
      </c>
      <c r="Q16" s="16">
        <f t="shared" si="10"/>
        <v>125.48389981049998</v>
      </c>
    </row>
    <row r="17" spans="1:17" x14ac:dyDescent="0.25">
      <c r="A17" s="3">
        <v>6</v>
      </c>
      <c r="B17" s="5">
        <f t="shared" si="3"/>
        <v>5.1247559999999996</v>
      </c>
      <c r="C17" s="3">
        <v>7</v>
      </c>
      <c r="D17" s="3">
        <v>38</v>
      </c>
      <c r="E17" s="3">
        <v>3</v>
      </c>
      <c r="F17" s="5">
        <f t="shared" si="4"/>
        <v>12.508649999999999</v>
      </c>
      <c r="G17" s="5">
        <v>21.89</v>
      </c>
      <c r="H17" s="7">
        <v>4080</v>
      </c>
      <c r="I17" s="5">
        <f t="shared" si="0"/>
        <v>51035.291999999994</v>
      </c>
      <c r="J17" s="5">
        <f t="shared" si="1"/>
        <v>6567</v>
      </c>
      <c r="K17" s="5">
        <f t="shared" si="2"/>
        <v>625.4325</v>
      </c>
      <c r="L17" s="5">
        <f t="shared" si="5"/>
        <v>51660.724499999997</v>
      </c>
      <c r="M17" s="5">
        <f t="shared" si="6"/>
        <v>58227.724499999997</v>
      </c>
      <c r="N17" s="5">
        <f t="shared" si="7"/>
        <v>60615.061204499994</v>
      </c>
      <c r="O17" s="5">
        <f t="shared" si="8"/>
        <v>202.05020401499999</v>
      </c>
      <c r="P17" s="5">
        <f t="shared" si="9"/>
        <v>63645.814264724992</v>
      </c>
      <c r="Q17" s="16">
        <f t="shared" si="10"/>
        <v>212.15271421574997</v>
      </c>
    </row>
    <row r="18" spans="1:17" x14ac:dyDescent="0.25">
      <c r="A18" s="3">
        <v>6</v>
      </c>
      <c r="B18" s="5">
        <f t="shared" si="3"/>
        <v>5.1247559999999996</v>
      </c>
      <c r="C18" s="3">
        <v>7</v>
      </c>
      <c r="D18" s="3">
        <v>38</v>
      </c>
      <c r="E18" s="3">
        <v>4</v>
      </c>
      <c r="F18" s="5">
        <f t="shared" si="4"/>
        <v>16.6782</v>
      </c>
      <c r="G18" s="5">
        <v>27.3</v>
      </c>
      <c r="H18" s="7">
        <v>4080</v>
      </c>
      <c r="I18" s="5">
        <f t="shared" si="0"/>
        <v>68047.055999999997</v>
      </c>
      <c r="J18" s="5">
        <f t="shared" si="1"/>
        <v>8190</v>
      </c>
      <c r="K18" s="5">
        <f t="shared" si="2"/>
        <v>833.91</v>
      </c>
      <c r="L18" s="5">
        <f t="shared" si="5"/>
        <v>68880.966</v>
      </c>
      <c r="M18" s="5">
        <f t="shared" si="6"/>
        <v>77070.966</v>
      </c>
      <c r="N18" s="5">
        <f t="shared" si="7"/>
        <v>80230.875606000001</v>
      </c>
      <c r="O18" s="5">
        <f t="shared" si="8"/>
        <v>267.43625201999998</v>
      </c>
      <c r="P18" s="5">
        <f t="shared" si="9"/>
        <v>84242.419386299996</v>
      </c>
      <c r="Q18" s="16">
        <f t="shared" si="10"/>
        <v>280.80806462099997</v>
      </c>
    </row>
    <row r="19" spans="1:17" x14ac:dyDescent="0.25">
      <c r="A19" s="3">
        <v>1.5</v>
      </c>
      <c r="B19" s="5">
        <f t="shared" si="3"/>
        <v>1.279161</v>
      </c>
      <c r="C19" s="3">
        <v>3</v>
      </c>
      <c r="D19" s="3">
        <v>29</v>
      </c>
      <c r="E19" s="3">
        <v>1</v>
      </c>
      <c r="F19" s="5">
        <f t="shared" si="4"/>
        <v>1.0407375000000001</v>
      </c>
      <c r="G19" s="22">
        <v>1.3</v>
      </c>
      <c r="H19" s="7">
        <v>4080</v>
      </c>
      <c r="I19" s="5">
        <f t="shared" si="0"/>
        <v>4246.2090000000007</v>
      </c>
      <c r="J19" s="5">
        <f t="shared" si="1"/>
        <v>390</v>
      </c>
      <c r="K19" s="5">
        <f t="shared" si="2"/>
        <v>52.036875000000002</v>
      </c>
      <c r="L19" s="5">
        <f t="shared" si="5"/>
        <v>4298.2458750000005</v>
      </c>
      <c r="M19" s="5">
        <f t="shared" si="6"/>
        <v>4688.2458750000005</v>
      </c>
      <c r="N19" s="5">
        <f t="shared" si="7"/>
        <v>4880.4639558750005</v>
      </c>
      <c r="O19" s="5">
        <f t="shared" si="8"/>
        <v>16.268213186250001</v>
      </c>
      <c r="P19" s="5">
        <f t="shared" si="9"/>
        <v>5124.4871536687506</v>
      </c>
      <c r="Q19" s="16">
        <f t="shared" si="10"/>
        <v>17.0816238455625</v>
      </c>
    </row>
    <row r="20" spans="1:17" x14ac:dyDescent="0.25">
      <c r="A20" s="3">
        <v>1.5</v>
      </c>
      <c r="B20" s="5">
        <f t="shared" si="3"/>
        <v>1.279161</v>
      </c>
      <c r="C20" s="3">
        <v>3</v>
      </c>
      <c r="D20" s="3">
        <v>29</v>
      </c>
      <c r="E20" s="3">
        <v>2</v>
      </c>
      <c r="F20" s="5">
        <f t="shared" si="4"/>
        <v>2.0814750000000002</v>
      </c>
      <c r="G20" s="6">
        <v>6.7</v>
      </c>
      <c r="H20" s="7">
        <v>4080</v>
      </c>
      <c r="I20" s="5">
        <f t="shared" si="0"/>
        <v>8492.4180000000015</v>
      </c>
      <c r="J20" s="5">
        <f t="shared" si="1"/>
        <v>2010</v>
      </c>
      <c r="K20" s="5">
        <f t="shared" si="2"/>
        <v>104.07375</v>
      </c>
      <c r="L20" s="5">
        <f t="shared" si="5"/>
        <v>8596.491750000001</v>
      </c>
      <c r="M20" s="5">
        <f t="shared" si="6"/>
        <v>10606.491750000001</v>
      </c>
      <c r="N20" s="5">
        <f t="shared" si="7"/>
        <v>11041.357911750001</v>
      </c>
      <c r="O20" s="5">
        <f t="shared" si="8"/>
        <v>36.804526372500007</v>
      </c>
      <c r="P20" s="5">
        <f t="shared" si="9"/>
        <v>11593.425807337502</v>
      </c>
      <c r="Q20" s="16">
        <f t="shared" si="10"/>
        <v>38.644752691125007</v>
      </c>
    </row>
    <row r="21" spans="1:17" x14ac:dyDescent="0.25">
      <c r="A21" s="3">
        <v>1.5</v>
      </c>
      <c r="B21" s="5">
        <f t="shared" si="3"/>
        <v>1.279161</v>
      </c>
      <c r="C21" s="3">
        <v>3</v>
      </c>
      <c r="D21" s="3">
        <v>29</v>
      </c>
      <c r="E21" s="3">
        <v>3</v>
      </c>
      <c r="F21" s="5">
        <f t="shared" si="4"/>
        <v>3.1222124999999998</v>
      </c>
      <c r="G21" s="6">
        <v>9</v>
      </c>
      <c r="H21" s="7">
        <v>4080</v>
      </c>
      <c r="I21" s="5">
        <f t="shared" si="0"/>
        <v>12738.626999999999</v>
      </c>
      <c r="J21" s="5">
        <f t="shared" si="1"/>
        <v>2700</v>
      </c>
      <c r="K21" s="5">
        <f t="shared" si="2"/>
        <v>156.110625</v>
      </c>
      <c r="L21" s="5">
        <f t="shared" si="5"/>
        <v>12894.737624999998</v>
      </c>
      <c r="M21" s="5">
        <f t="shared" si="6"/>
        <v>15594.737624999998</v>
      </c>
      <c r="N21" s="5">
        <f t="shared" si="7"/>
        <v>16234.121867624997</v>
      </c>
      <c r="O21" s="5">
        <f t="shared" si="8"/>
        <v>54.113739558749991</v>
      </c>
      <c r="P21" s="5">
        <f t="shared" si="9"/>
        <v>17045.827961006245</v>
      </c>
      <c r="Q21" s="16">
        <f t="shared" si="10"/>
        <v>56.819426536687487</v>
      </c>
    </row>
    <row r="22" spans="1:17" x14ac:dyDescent="0.25">
      <c r="A22" s="3">
        <v>1.5</v>
      </c>
      <c r="B22" s="5">
        <f t="shared" si="3"/>
        <v>1.279161</v>
      </c>
      <c r="C22" s="3">
        <v>3</v>
      </c>
      <c r="D22" s="3">
        <v>29</v>
      </c>
      <c r="E22" s="3">
        <v>4</v>
      </c>
      <c r="F22" s="5">
        <f t="shared" si="4"/>
        <v>4.1629500000000004</v>
      </c>
      <c r="G22" s="6">
        <v>11.5</v>
      </c>
      <c r="H22" s="7">
        <v>4080</v>
      </c>
      <c r="I22" s="5">
        <f t="shared" si="0"/>
        <v>16984.836000000003</v>
      </c>
      <c r="J22" s="5">
        <f t="shared" si="1"/>
        <v>3450</v>
      </c>
      <c r="K22" s="5">
        <f t="shared" si="2"/>
        <v>208.14750000000001</v>
      </c>
      <c r="L22" s="5">
        <f t="shared" si="5"/>
        <v>17192.983500000002</v>
      </c>
      <c r="M22" s="5">
        <f t="shared" si="6"/>
        <v>20642.983500000002</v>
      </c>
      <c r="N22" s="5">
        <f t="shared" si="7"/>
        <v>21489.345823500003</v>
      </c>
      <c r="O22" s="5">
        <f t="shared" si="8"/>
        <v>71.631152745000009</v>
      </c>
      <c r="P22" s="5">
        <f t="shared" si="9"/>
        <v>22563.813114675002</v>
      </c>
      <c r="Q22" s="16">
        <f t="shared" si="10"/>
        <v>75.212710382250009</v>
      </c>
    </row>
    <row r="23" spans="1:17" x14ac:dyDescent="0.25">
      <c r="A23" s="3">
        <v>2.5</v>
      </c>
      <c r="B23" s="5">
        <f t="shared" si="3"/>
        <v>2.9847090000000001</v>
      </c>
      <c r="C23" s="3">
        <v>7</v>
      </c>
      <c r="D23" s="3">
        <v>29</v>
      </c>
      <c r="E23" s="3">
        <v>1</v>
      </c>
      <c r="F23" s="5">
        <f t="shared" si="4"/>
        <v>2.4283874999999999</v>
      </c>
      <c r="G23" s="22">
        <v>1.6</v>
      </c>
      <c r="H23" s="7">
        <v>4080</v>
      </c>
      <c r="I23" s="5">
        <f t="shared" si="0"/>
        <v>9907.8209999999999</v>
      </c>
      <c r="J23" s="5">
        <f t="shared" si="1"/>
        <v>480</v>
      </c>
      <c r="K23" s="5">
        <f t="shared" si="2"/>
        <v>121.419375</v>
      </c>
      <c r="L23" s="5">
        <f t="shared" si="5"/>
        <v>10029.240374999999</v>
      </c>
      <c r="M23" s="5">
        <f t="shared" si="6"/>
        <v>10509.240374999999</v>
      </c>
      <c r="N23" s="5">
        <f t="shared" si="7"/>
        <v>10940.119230374999</v>
      </c>
      <c r="O23" s="5">
        <f t="shared" si="8"/>
        <v>36.467064101249996</v>
      </c>
      <c r="P23" s="5">
        <f t="shared" si="9"/>
        <v>11487.125191893749</v>
      </c>
      <c r="Q23" s="16">
        <f t="shared" si="10"/>
        <v>38.290417306312499</v>
      </c>
    </row>
    <row r="24" spans="1:17" x14ac:dyDescent="0.25">
      <c r="A24" s="3">
        <v>2.5</v>
      </c>
      <c r="B24" s="5">
        <f t="shared" si="3"/>
        <v>2.9847090000000001</v>
      </c>
      <c r="C24" s="3">
        <v>7</v>
      </c>
      <c r="D24" s="3">
        <v>29</v>
      </c>
      <c r="E24" s="3">
        <v>2</v>
      </c>
      <c r="F24" s="5">
        <f t="shared" si="4"/>
        <v>4.8567749999999998</v>
      </c>
      <c r="G24" s="5">
        <v>11.2</v>
      </c>
      <c r="H24" s="7">
        <v>4080</v>
      </c>
      <c r="I24" s="5">
        <f t="shared" si="0"/>
        <v>19815.642</v>
      </c>
      <c r="J24" s="5">
        <f t="shared" si="1"/>
        <v>3360</v>
      </c>
      <c r="K24" s="5">
        <f t="shared" si="2"/>
        <v>242.83875</v>
      </c>
      <c r="L24" s="5">
        <f t="shared" si="5"/>
        <v>20058.480749999999</v>
      </c>
      <c r="M24" s="5">
        <f t="shared" si="6"/>
        <v>23418.480749999999</v>
      </c>
      <c r="N24" s="5">
        <f t="shared" si="7"/>
        <v>24378.63846075</v>
      </c>
      <c r="O24" s="5">
        <f t="shared" si="8"/>
        <v>81.262128202499994</v>
      </c>
      <c r="P24" s="5">
        <f t="shared" si="9"/>
        <v>25597.570383787501</v>
      </c>
      <c r="Q24" s="16">
        <f t="shared" si="10"/>
        <v>85.325234612624996</v>
      </c>
    </row>
    <row r="25" spans="1:17" x14ac:dyDescent="0.25">
      <c r="A25" s="3">
        <v>2.5</v>
      </c>
      <c r="B25" s="5">
        <f t="shared" si="3"/>
        <v>2.9847090000000001</v>
      </c>
      <c r="C25" s="3">
        <v>7</v>
      </c>
      <c r="D25" s="3">
        <v>29</v>
      </c>
      <c r="E25" s="3">
        <v>3</v>
      </c>
      <c r="F25" s="5">
        <f t="shared" si="4"/>
        <v>7.2851625000000002</v>
      </c>
      <c r="G25" s="5">
        <v>15.24</v>
      </c>
      <c r="H25" s="7">
        <v>4080</v>
      </c>
      <c r="I25" s="5">
        <f t="shared" si="0"/>
        <v>29723.463</v>
      </c>
      <c r="J25" s="5">
        <f t="shared" si="1"/>
        <v>4572</v>
      </c>
      <c r="K25" s="5">
        <f t="shared" si="2"/>
        <v>364.25812500000001</v>
      </c>
      <c r="L25" s="5">
        <f t="shared" si="5"/>
        <v>30087.721125</v>
      </c>
      <c r="M25" s="5">
        <f t="shared" si="6"/>
        <v>34659.721124999996</v>
      </c>
      <c r="N25" s="5">
        <f t="shared" si="7"/>
        <v>36080.769691124995</v>
      </c>
      <c r="O25" s="5">
        <f t="shared" si="8"/>
        <v>120.26923230374999</v>
      </c>
      <c r="P25" s="5">
        <f t="shared" si="9"/>
        <v>37884.808175681246</v>
      </c>
      <c r="Q25" s="16">
        <f t="shared" si="10"/>
        <v>126.28269391893748</v>
      </c>
    </row>
    <row r="26" spans="1:17" x14ac:dyDescent="0.25">
      <c r="A26" s="3">
        <v>2.5</v>
      </c>
      <c r="B26" s="5">
        <f t="shared" si="3"/>
        <v>2.9847090000000001</v>
      </c>
      <c r="C26" s="3">
        <v>7</v>
      </c>
      <c r="D26" s="3">
        <v>29</v>
      </c>
      <c r="E26" s="3">
        <v>4</v>
      </c>
      <c r="F26" s="5">
        <f t="shared" si="4"/>
        <v>9.7135499999999997</v>
      </c>
      <c r="G26" s="5">
        <v>0</v>
      </c>
      <c r="H26" s="7">
        <v>4080</v>
      </c>
      <c r="I26" s="5">
        <f t="shared" si="0"/>
        <v>39631.284</v>
      </c>
      <c r="J26" s="5">
        <f t="shared" si="1"/>
        <v>0</v>
      </c>
      <c r="K26" s="5">
        <f t="shared" si="2"/>
        <v>485.67750000000001</v>
      </c>
      <c r="L26" s="5">
        <f t="shared" si="5"/>
        <v>40116.961499999998</v>
      </c>
      <c r="M26" s="5">
        <f t="shared" si="6"/>
        <v>40116.961499999998</v>
      </c>
      <c r="N26" s="5">
        <f t="shared" si="7"/>
        <v>41761.756921499997</v>
      </c>
      <c r="O26" s="5">
        <f t="shared" si="8"/>
        <v>139.20585640499999</v>
      </c>
      <c r="P26" s="5">
        <f t="shared" si="9"/>
        <v>43849.844767574999</v>
      </c>
      <c r="Q26" s="16">
        <f t="shared" si="10"/>
        <v>146.16614922525</v>
      </c>
    </row>
    <row r="27" spans="1:17" x14ac:dyDescent="0.25">
      <c r="A27" s="3">
        <v>4</v>
      </c>
      <c r="B27" s="5">
        <f t="shared" si="3"/>
        <v>3.8648609999999999</v>
      </c>
      <c r="C27" s="3">
        <v>7</v>
      </c>
      <c r="D27" s="3">
        <v>33</v>
      </c>
      <c r="E27" s="3">
        <v>1</v>
      </c>
      <c r="F27" s="5">
        <f t="shared" si="4"/>
        <v>3.1444874999999999</v>
      </c>
      <c r="G27" s="22">
        <v>2.5</v>
      </c>
      <c r="H27" s="7">
        <v>4080</v>
      </c>
      <c r="I27" s="5">
        <f t="shared" si="0"/>
        <v>12829.509</v>
      </c>
      <c r="J27" s="5">
        <f t="shared" si="1"/>
        <v>750</v>
      </c>
      <c r="K27" s="5">
        <f t="shared" si="2"/>
        <v>157.22437499999998</v>
      </c>
      <c r="L27" s="5">
        <f t="shared" si="5"/>
        <v>12986.733375</v>
      </c>
      <c r="M27" s="5">
        <f t="shared" si="6"/>
        <v>13736.733375</v>
      </c>
      <c r="N27" s="5">
        <f t="shared" si="7"/>
        <v>14299.939443375</v>
      </c>
      <c r="O27" s="5">
        <f t="shared" si="8"/>
        <v>47.666464811250002</v>
      </c>
      <c r="P27" s="5">
        <f t="shared" si="9"/>
        <v>15014.936415543751</v>
      </c>
      <c r="Q27" s="16">
        <f t="shared" si="10"/>
        <v>50.049788051812499</v>
      </c>
    </row>
    <row r="28" spans="1:17" x14ac:dyDescent="0.25">
      <c r="A28" s="3">
        <v>4</v>
      </c>
      <c r="B28" s="5">
        <f t="shared" si="3"/>
        <v>3.8648609999999999</v>
      </c>
      <c r="C28" s="3">
        <v>7</v>
      </c>
      <c r="D28" s="3">
        <v>33</v>
      </c>
      <c r="E28" s="3">
        <v>2</v>
      </c>
      <c r="F28" s="5">
        <f t="shared" si="4"/>
        <v>6.2889749999999998</v>
      </c>
      <c r="G28" s="5">
        <v>14.1</v>
      </c>
      <c r="H28" s="7">
        <v>4080</v>
      </c>
      <c r="I28" s="5">
        <f t="shared" si="0"/>
        <v>25659.018</v>
      </c>
      <c r="J28" s="5">
        <f t="shared" si="1"/>
        <v>4230</v>
      </c>
      <c r="K28" s="5">
        <f t="shared" si="2"/>
        <v>314.44874999999996</v>
      </c>
      <c r="L28" s="5">
        <f t="shared" si="5"/>
        <v>25973.46675</v>
      </c>
      <c r="M28" s="5">
        <f t="shared" si="6"/>
        <v>30203.46675</v>
      </c>
      <c r="N28" s="5">
        <f t="shared" si="7"/>
        <v>31441.808886750001</v>
      </c>
      <c r="O28" s="5">
        <f t="shared" si="8"/>
        <v>104.80602962250001</v>
      </c>
      <c r="P28" s="5">
        <f t="shared" si="9"/>
        <v>33013.899331087501</v>
      </c>
      <c r="Q28" s="16">
        <f t="shared" si="10"/>
        <v>110.04633110362501</v>
      </c>
    </row>
    <row r="29" spans="1:17" x14ac:dyDescent="0.25">
      <c r="A29" s="3">
        <v>4</v>
      </c>
      <c r="B29" s="5">
        <f t="shared" si="3"/>
        <v>3.8648609999999999</v>
      </c>
      <c r="C29" s="3">
        <v>7</v>
      </c>
      <c r="D29" s="3">
        <v>33</v>
      </c>
      <c r="E29" s="3">
        <v>3</v>
      </c>
      <c r="F29" s="5">
        <f t="shared" si="4"/>
        <v>9.4334624999999992</v>
      </c>
      <c r="G29" s="6">
        <v>16.5</v>
      </c>
      <c r="H29" s="7">
        <v>4080</v>
      </c>
      <c r="I29" s="5">
        <f t="shared" si="0"/>
        <v>38488.526999999995</v>
      </c>
      <c r="J29" s="5">
        <f t="shared" si="1"/>
        <v>4950</v>
      </c>
      <c r="K29" s="5">
        <f t="shared" si="2"/>
        <v>471.67312499999997</v>
      </c>
      <c r="L29" s="5">
        <f t="shared" si="5"/>
        <v>38960.200124999996</v>
      </c>
      <c r="M29" s="5">
        <f t="shared" si="6"/>
        <v>43910.200124999996</v>
      </c>
      <c r="N29" s="5">
        <f t="shared" si="7"/>
        <v>45710.518330124993</v>
      </c>
      <c r="O29" s="5">
        <f t="shared" si="8"/>
        <v>152.36839443374998</v>
      </c>
      <c r="P29" s="5">
        <f t="shared" si="9"/>
        <v>47996.044246631245</v>
      </c>
      <c r="Q29" s="16">
        <f t="shared" si="10"/>
        <v>159.98681415543749</v>
      </c>
    </row>
    <row r="30" spans="1:17" x14ac:dyDescent="0.25">
      <c r="A30" s="3">
        <v>4</v>
      </c>
      <c r="B30" s="5">
        <f t="shared" si="3"/>
        <v>3.8648609999999999</v>
      </c>
      <c r="C30" s="3">
        <v>7</v>
      </c>
      <c r="D30" s="3">
        <v>33</v>
      </c>
      <c r="E30" s="3">
        <v>4</v>
      </c>
      <c r="F30" s="5">
        <f t="shared" si="4"/>
        <v>12.57795</v>
      </c>
      <c r="G30" s="5">
        <v>19.309999999999999</v>
      </c>
      <c r="H30" s="7">
        <v>4080</v>
      </c>
      <c r="I30" s="5">
        <f t="shared" si="0"/>
        <v>51318.036</v>
      </c>
      <c r="J30" s="5">
        <f t="shared" si="1"/>
        <v>5793</v>
      </c>
      <c r="K30" s="5">
        <f t="shared" si="2"/>
        <v>628.89749999999992</v>
      </c>
      <c r="L30" s="5">
        <f t="shared" si="5"/>
        <v>51946.933499999999</v>
      </c>
      <c r="M30" s="5">
        <f t="shared" si="6"/>
        <v>57739.933499999999</v>
      </c>
      <c r="N30" s="5">
        <f t="shared" si="7"/>
        <v>60107.2707735</v>
      </c>
      <c r="O30" s="5">
        <f t="shared" si="8"/>
        <v>200.35756924500001</v>
      </c>
      <c r="P30" s="5">
        <f t="shared" si="9"/>
        <v>63112.634312175003</v>
      </c>
      <c r="Q30" s="16">
        <f t="shared" si="10"/>
        <v>210.37544770725</v>
      </c>
    </row>
    <row r="31" spans="1:17" x14ac:dyDescent="0.25">
      <c r="A31" s="3">
        <v>6</v>
      </c>
      <c r="B31" s="5">
        <f t="shared" si="3"/>
        <v>5.9658689999999996</v>
      </c>
      <c r="C31" s="3">
        <v>7</v>
      </c>
      <c r="D31" s="3">
        <v>41</v>
      </c>
      <c r="E31" s="3">
        <v>1</v>
      </c>
      <c r="F31" s="5">
        <f t="shared" si="4"/>
        <v>4.8538874999999999</v>
      </c>
      <c r="G31" s="22">
        <v>3</v>
      </c>
      <c r="H31" s="7">
        <v>4080</v>
      </c>
      <c r="I31" s="5">
        <f t="shared" si="0"/>
        <v>19803.861000000001</v>
      </c>
      <c r="J31" s="5">
        <f t="shared" si="1"/>
        <v>900</v>
      </c>
      <c r="K31" s="5">
        <f t="shared" si="2"/>
        <v>242.69437500000001</v>
      </c>
      <c r="L31" s="5">
        <f t="shared" si="5"/>
        <v>20046.555375</v>
      </c>
      <c r="M31" s="5">
        <f t="shared" si="6"/>
        <v>20946.555375</v>
      </c>
      <c r="N31" s="5">
        <f t="shared" si="7"/>
        <v>21805.364145374999</v>
      </c>
      <c r="O31" s="5">
        <f t="shared" si="8"/>
        <v>72.684547151250001</v>
      </c>
      <c r="P31" s="5">
        <f t="shared" si="9"/>
        <v>22895.632352643748</v>
      </c>
      <c r="Q31" s="16">
        <f t="shared" si="10"/>
        <v>76.318774508812496</v>
      </c>
    </row>
    <row r="32" spans="1:17" x14ac:dyDescent="0.25">
      <c r="A32" s="3">
        <v>6</v>
      </c>
      <c r="B32" s="5">
        <f t="shared" si="3"/>
        <v>5.9658689999999996</v>
      </c>
      <c r="C32" s="3">
        <v>7</v>
      </c>
      <c r="D32" s="3">
        <v>41</v>
      </c>
      <c r="E32" s="3">
        <v>2</v>
      </c>
      <c r="F32" s="5">
        <f t="shared" si="4"/>
        <v>9.7077749999999998</v>
      </c>
      <c r="G32" s="5">
        <v>0</v>
      </c>
      <c r="H32" s="7">
        <v>4080</v>
      </c>
      <c r="I32" s="5">
        <f t="shared" si="0"/>
        <v>39607.722000000002</v>
      </c>
      <c r="J32" s="5">
        <f t="shared" si="1"/>
        <v>0</v>
      </c>
      <c r="K32" s="5">
        <f t="shared" si="2"/>
        <v>485.38875000000002</v>
      </c>
      <c r="L32" s="5">
        <f t="shared" si="5"/>
        <v>40093.11075</v>
      </c>
      <c r="M32" s="5">
        <f t="shared" si="6"/>
        <v>40093.11075</v>
      </c>
      <c r="N32" s="5">
        <f t="shared" si="7"/>
        <v>41736.928290750002</v>
      </c>
      <c r="O32" s="5">
        <f t="shared" si="8"/>
        <v>139.12309430249999</v>
      </c>
      <c r="P32" s="5">
        <f t="shared" si="9"/>
        <v>43823.774705287506</v>
      </c>
      <c r="Q32" s="16">
        <f t="shared" si="10"/>
        <v>146.07924901762502</v>
      </c>
    </row>
    <row r="33" spans="1:17" x14ac:dyDescent="0.25">
      <c r="A33" s="3">
        <v>6</v>
      </c>
      <c r="B33" s="5">
        <f t="shared" si="3"/>
        <v>5.9658689999999996</v>
      </c>
      <c r="C33" s="3">
        <v>7</v>
      </c>
      <c r="D33" s="3">
        <v>41</v>
      </c>
      <c r="E33" s="3">
        <v>3</v>
      </c>
      <c r="F33" s="5">
        <f t="shared" si="4"/>
        <v>14.561662500000001</v>
      </c>
      <c r="G33" s="5">
        <v>21.89</v>
      </c>
      <c r="H33" s="7">
        <v>4080</v>
      </c>
      <c r="I33" s="5">
        <f t="shared" si="0"/>
        <v>59411.583000000006</v>
      </c>
      <c r="J33" s="5">
        <f t="shared" si="1"/>
        <v>6567</v>
      </c>
      <c r="K33" s="5">
        <f t="shared" si="2"/>
        <v>728.083125</v>
      </c>
      <c r="L33" s="5">
        <f t="shared" si="5"/>
        <v>60139.666125000003</v>
      </c>
      <c r="M33" s="5">
        <f t="shared" si="6"/>
        <v>66706.666125000003</v>
      </c>
      <c r="N33" s="5">
        <f t="shared" si="7"/>
        <v>69441.639436124999</v>
      </c>
      <c r="O33" s="5">
        <f t="shared" si="8"/>
        <v>231.47213145374999</v>
      </c>
      <c r="P33" s="5">
        <f t="shared" si="9"/>
        <v>72913.721407931254</v>
      </c>
      <c r="Q33" s="16">
        <f t="shared" si="10"/>
        <v>243.0457380264375</v>
      </c>
    </row>
    <row r="34" spans="1:17" x14ac:dyDescent="0.25">
      <c r="A34" s="3">
        <v>6</v>
      </c>
      <c r="B34" s="5">
        <f t="shared" si="3"/>
        <v>5.9658689999999996</v>
      </c>
      <c r="C34" s="3">
        <v>7</v>
      </c>
      <c r="D34" s="3">
        <v>41</v>
      </c>
      <c r="E34" s="3">
        <v>4</v>
      </c>
      <c r="F34" s="5">
        <f t="shared" si="4"/>
        <v>19.41555</v>
      </c>
      <c r="G34" s="5">
        <v>0</v>
      </c>
      <c r="H34" s="7">
        <v>4080</v>
      </c>
      <c r="I34" s="5">
        <f t="shared" si="0"/>
        <v>79215.444000000003</v>
      </c>
      <c r="J34" s="5">
        <f t="shared" si="1"/>
        <v>0</v>
      </c>
      <c r="K34" s="5">
        <f t="shared" si="2"/>
        <v>970.77750000000003</v>
      </c>
      <c r="L34" s="5">
        <f t="shared" si="5"/>
        <v>80186.2215</v>
      </c>
      <c r="M34" s="5">
        <f t="shared" si="6"/>
        <v>80186.2215</v>
      </c>
      <c r="N34" s="5">
        <f t="shared" si="7"/>
        <v>83473.856581500004</v>
      </c>
      <c r="O34" s="5">
        <f t="shared" si="8"/>
        <v>278.24618860499999</v>
      </c>
      <c r="P34" s="5">
        <f t="shared" si="9"/>
        <v>87647.549410575011</v>
      </c>
      <c r="Q34" s="16">
        <f t="shared" si="10"/>
        <v>292.15849803525003</v>
      </c>
    </row>
    <row r="35" spans="1:17" x14ac:dyDescent="0.25">
      <c r="A35" s="3">
        <v>10</v>
      </c>
      <c r="B35" s="5">
        <f t="shared" si="3"/>
        <v>7.509684</v>
      </c>
      <c r="C35" s="3">
        <v>7</v>
      </c>
      <c r="D35" s="3">
        <v>46</v>
      </c>
      <c r="E35" s="3">
        <v>1</v>
      </c>
      <c r="F35" s="5">
        <f t="shared" si="4"/>
        <v>6.1099500000000004</v>
      </c>
      <c r="G35" s="22">
        <v>4.0999999999999996</v>
      </c>
      <c r="H35" s="7">
        <v>4080</v>
      </c>
      <c r="I35" s="5">
        <f t="shared" si="0"/>
        <v>24928.596000000001</v>
      </c>
      <c r="J35" s="5">
        <f t="shared" si="1"/>
        <v>1230</v>
      </c>
      <c r="K35" s="5">
        <f t="shared" si="2"/>
        <v>305.4975</v>
      </c>
      <c r="L35" s="5">
        <f t="shared" si="5"/>
        <v>25234.093500000003</v>
      </c>
      <c r="M35" s="5">
        <f t="shared" si="6"/>
        <v>26464.093500000003</v>
      </c>
      <c r="N35" s="5">
        <f t="shared" si="7"/>
        <v>27549.121333500003</v>
      </c>
      <c r="O35" s="5">
        <f t="shared" si="8"/>
        <v>91.830404445000013</v>
      </c>
      <c r="P35" s="5">
        <f t="shared" si="9"/>
        <v>28926.577400175003</v>
      </c>
      <c r="Q35" s="16">
        <f t="shared" si="10"/>
        <v>96.421924667250011</v>
      </c>
    </row>
    <row r="36" spans="1:17" x14ac:dyDescent="0.25">
      <c r="A36" s="3">
        <v>10</v>
      </c>
      <c r="B36" s="5">
        <f t="shared" si="3"/>
        <v>8.1768959999999993</v>
      </c>
      <c r="C36" s="3">
        <v>7</v>
      </c>
      <c r="D36" s="3">
        <v>48</v>
      </c>
      <c r="E36" s="3">
        <v>1</v>
      </c>
      <c r="F36" s="5">
        <f t="shared" si="4"/>
        <v>6.6528</v>
      </c>
      <c r="G36" s="22">
        <v>4.0999999999999996</v>
      </c>
      <c r="H36" s="7">
        <v>4080</v>
      </c>
      <c r="I36" s="5">
        <f t="shared" si="0"/>
        <v>27143.423999999999</v>
      </c>
      <c r="J36" s="5">
        <f t="shared" si="1"/>
        <v>1230</v>
      </c>
      <c r="K36" s="5">
        <f t="shared" si="2"/>
        <v>332.64</v>
      </c>
      <c r="L36" s="5">
        <f t="shared" si="5"/>
        <v>27476.063999999998</v>
      </c>
      <c r="M36" s="5">
        <f t="shared" si="6"/>
        <v>28706.063999999998</v>
      </c>
      <c r="N36" s="5">
        <f t="shared" si="7"/>
        <v>29883.012623999999</v>
      </c>
      <c r="O36" s="5">
        <f t="shared" si="8"/>
        <v>99.610042079999999</v>
      </c>
      <c r="P36" s="5">
        <f t="shared" si="9"/>
        <v>31377.163255200001</v>
      </c>
      <c r="Q36" s="16">
        <f t="shared" si="10"/>
        <v>104.59054418400001</v>
      </c>
    </row>
    <row r="37" spans="1:17" x14ac:dyDescent="0.25">
      <c r="A37" s="3">
        <v>16</v>
      </c>
      <c r="B37" s="5">
        <f t="shared" si="3"/>
        <v>12.776400000000001</v>
      </c>
      <c r="C37" s="3">
        <v>7</v>
      </c>
      <c r="D37" s="3">
        <v>60</v>
      </c>
      <c r="E37" s="3">
        <v>1</v>
      </c>
      <c r="F37" s="5">
        <f t="shared" si="4"/>
        <v>10.395</v>
      </c>
      <c r="G37" s="22">
        <v>4.5999999999999996</v>
      </c>
      <c r="H37" s="7">
        <v>4080</v>
      </c>
      <c r="I37" s="5">
        <f t="shared" si="0"/>
        <v>42411.6</v>
      </c>
      <c r="J37" s="5">
        <f t="shared" si="1"/>
        <v>1380</v>
      </c>
      <c r="K37" s="5">
        <f t="shared" si="2"/>
        <v>519.75</v>
      </c>
      <c r="L37" s="5">
        <f t="shared" si="5"/>
        <v>42931.35</v>
      </c>
      <c r="M37" s="5">
        <f t="shared" si="6"/>
        <v>44311.35</v>
      </c>
      <c r="N37" s="5">
        <f t="shared" si="7"/>
        <v>46128.11535</v>
      </c>
      <c r="O37" s="5">
        <f t="shared" si="8"/>
        <v>153.76038449999999</v>
      </c>
      <c r="P37" s="5">
        <f t="shared" si="9"/>
        <v>48434.5211175</v>
      </c>
      <c r="Q37" s="16">
        <f t="shared" si="10"/>
        <v>161.44840372499999</v>
      </c>
    </row>
    <row r="38" spans="1:17" x14ac:dyDescent="0.25">
      <c r="A38" s="3">
        <v>50</v>
      </c>
      <c r="B38" s="5">
        <f t="shared" si="3"/>
        <v>44.542991999999998</v>
      </c>
      <c r="C38" s="3">
        <v>19</v>
      </c>
      <c r="D38" s="3">
        <v>68</v>
      </c>
      <c r="E38" s="3">
        <v>1</v>
      </c>
      <c r="F38" s="5">
        <f t="shared" si="4"/>
        <v>36.240600000000001</v>
      </c>
      <c r="G38" s="22">
        <v>10.5</v>
      </c>
      <c r="H38" s="7">
        <v>4080</v>
      </c>
      <c r="I38" s="5">
        <f t="shared" si="0"/>
        <v>147861.64800000002</v>
      </c>
      <c r="J38" s="5">
        <f t="shared" si="1"/>
        <v>3150</v>
      </c>
      <c r="K38" s="5">
        <f t="shared" si="2"/>
        <v>1812.03</v>
      </c>
      <c r="L38" s="5">
        <f t="shared" si="5"/>
        <v>149673.67800000001</v>
      </c>
      <c r="M38" s="5">
        <f t="shared" si="6"/>
        <v>152823.67800000001</v>
      </c>
      <c r="N38" s="5">
        <f t="shared" si="7"/>
        <v>159089.44879800003</v>
      </c>
      <c r="O38" s="5">
        <f t="shared" si="8"/>
        <v>530.29816266000012</v>
      </c>
      <c r="P38" s="5">
        <f t="shared" si="9"/>
        <v>167043.92123790004</v>
      </c>
      <c r="Q38" s="16">
        <f t="shared" si="10"/>
        <v>556.81307079300018</v>
      </c>
    </row>
    <row r="39" spans="1:17" x14ac:dyDescent="0.25">
      <c r="A39" s="3">
        <v>70</v>
      </c>
      <c r="B39" s="5">
        <f t="shared" si="3"/>
        <v>61.651200000000003</v>
      </c>
      <c r="C39" s="3">
        <v>19</v>
      </c>
      <c r="D39" s="3">
        <v>80</v>
      </c>
      <c r="E39" s="3">
        <v>1</v>
      </c>
      <c r="F39" s="5">
        <f t="shared" si="4"/>
        <v>50.16</v>
      </c>
      <c r="G39" s="22">
        <v>16</v>
      </c>
      <c r="H39" s="7">
        <v>4080</v>
      </c>
      <c r="I39" s="5">
        <f t="shared" si="0"/>
        <v>204652.79999999999</v>
      </c>
      <c r="J39" s="5">
        <f t="shared" si="1"/>
        <v>4800</v>
      </c>
      <c r="K39" s="5">
        <f t="shared" si="2"/>
        <v>2508</v>
      </c>
      <c r="L39" s="5">
        <f t="shared" si="5"/>
        <v>207160.8</v>
      </c>
      <c r="M39" s="5">
        <f t="shared" si="6"/>
        <v>211960.8</v>
      </c>
      <c r="N39" s="5">
        <f t="shared" si="7"/>
        <v>220651.19279999999</v>
      </c>
      <c r="O39" s="5">
        <f t="shared" si="8"/>
        <v>735.50397599999997</v>
      </c>
      <c r="P39" s="5">
        <f t="shared" si="9"/>
        <v>231683.75243999998</v>
      </c>
      <c r="Q39" s="16">
        <f t="shared" si="10"/>
        <v>772.27917479999996</v>
      </c>
    </row>
  </sheetData>
  <mergeCells count="1">
    <mergeCell ref="A1:Q1"/>
  </mergeCells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tabSelected="1" workbookViewId="0">
      <selection sqref="A1:R1"/>
    </sheetView>
  </sheetViews>
  <sheetFormatPr defaultRowHeight="15" x14ac:dyDescent="0.25"/>
  <cols>
    <col min="1" max="1" width="4.140625" style="43" bestFit="1" customWidth="1"/>
    <col min="2" max="2" width="4.140625" style="59" bestFit="1" customWidth="1"/>
    <col min="3" max="3" width="5.85546875" style="61" bestFit="1" customWidth="1"/>
    <col min="4" max="4" width="5.7109375" style="59" customWidth="1"/>
    <col min="5" max="5" width="5" style="59" bestFit="1" customWidth="1"/>
    <col min="6" max="6" width="4.5703125" style="59" customWidth="1"/>
    <col min="7" max="7" width="7.85546875" style="59" bestFit="1" customWidth="1"/>
    <col min="8" max="8" width="4.85546875" style="59" bestFit="1" customWidth="1"/>
    <col min="9" max="9" width="5" style="59" bestFit="1" customWidth="1"/>
    <col min="10" max="10" width="9.42578125" style="59" bestFit="1" customWidth="1"/>
    <col min="11" max="11" width="7.42578125" style="62" bestFit="1" customWidth="1"/>
    <col min="12" max="12" width="8.85546875" style="59" bestFit="1" customWidth="1"/>
    <col min="13" max="13" width="10.85546875" style="60" bestFit="1" customWidth="1"/>
    <col min="14" max="15" width="9.42578125" style="59" bestFit="1" customWidth="1"/>
    <col min="16" max="16" width="7.85546875" style="59" bestFit="1" customWidth="1"/>
    <col min="17" max="17" width="10.85546875" style="59" bestFit="1" customWidth="1"/>
    <col min="18" max="18" width="10.42578125" style="59" bestFit="1" customWidth="1"/>
    <col min="19" max="16384" width="9.140625" style="59"/>
  </cols>
  <sheetData>
    <row r="1" spans="1:18" s="63" customFormat="1" ht="28.5" x14ac:dyDescent="0.45">
      <c r="A1" s="68" t="s">
        <v>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s="50" customFormat="1" ht="40.5" x14ac:dyDescent="0.3">
      <c r="A2" s="47" t="s">
        <v>25</v>
      </c>
      <c r="B2" s="48" t="s">
        <v>1</v>
      </c>
      <c r="C2" s="48" t="s">
        <v>26</v>
      </c>
      <c r="D2" s="48" t="s">
        <v>7</v>
      </c>
      <c r="E2" s="48" t="s">
        <v>2</v>
      </c>
      <c r="F2" s="48" t="s">
        <v>8</v>
      </c>
      <c r="G2" s="49" t="s">
        <v>36</v>
      </c>
      <c r="H2" s="48" t="s">
        <v>10</v>
      </c>
      <c r="I2" s="48" t="s">
        <v>9</v>
      </c>
      <c r="J2" s="48" t="s">
        <v>12</v>
      </c>
      <c r="K2" s="48" t="s">
        <v>35</v>
      </c>
      <c r="L2" s="46" t="s">
        <v>14</v>
      </c>
      <c r="M2" s="46" t="s">
        <v>37</v>
      </c>
      <c r="N2" s="48" t="s">
        <v>16</v>
      </c>
      <c r="O2" s="48" t="s">
        <v>4</v>
      </c>
      <c r="P2" s="48" t="s">
        <v>17</v>
      </c>
      <c r="Q2" s="48" t="s">
        <v>5</v>
      </c>
      <c r="R2" s="48" t="s">
        <v>18</v>
      </c>
    </row>
    <row r="3" spans="1:18" s="50" customFormat="1" ht="13.5" x14ac:dyDescent="0.3">
      <c r="A3" s="47">
        <v>1</v>
      </c>
      <c r="B3" s="54">
        <v>1</v>
      </c>
      <c r="C3" s="44">
        <f t="shared" ref="C3:C14" si="0">SUM(E3*E3*D3*507/1000000)</f>
        <v>0.76049999999999995</v>
      </c>
      <c r="D3" s="54">
        <v>15</v>
      </c>
      <c r="E3" s="54">
        <v>10</v>
      </c>
      <c r="F3" s="54">
        <v>1</v>
      </c>
      <c r="G3" s="52">
        <f t="shared" ref="G3:G14" si="1">SUM(E3*E3*D3*F3*330/800000)</f>
        <v>0.61875000000000002</v>
      </c>
      <c r="H3" s="54">
        <v>0.9</v>
      </c>
      <c r="I3" s="13">
        <v>4050</v>
      </c>
      <c r="J3" s="53">
        <f t="shared" ref="J3:J14" si="2">SUM(G3*I3)</f>
        <v>2505.9375</v>
      </c>
      <c r="K3" s="54">
        <f t="shared" ref="K3:K14" si="3">SUM(H3*300)</f>
        <v>270</v>
      </c>
      <c r="L3" s="44">
        <f>SUM(G3*100)</f>
        <v>61.875</v>
      </c>
      <c r="M3" s="44">
        <f>SUM(J3+L3)</f>
        <v>2567.8125</v>
      </c>
      <c r="N3" s="53">
        <f>SUM(M3+K3)</f>
        <v>2837.8125</v>
      </c>
      <c r="O3" s="53">
        <f>N3+(N3*4.1%)</f>
        <v>2954.1628125000002</v>
      </c>
      <c r="P3" s="53">
        <f>SUM(O3/300)</f>
        <v>9.8472093750000003</v>
      </c>
      <c r="Q3" s="44">
        <f>O3+(O3*5%)</f>
        <v>3101.8709531250001</v>
      </c>
      <c r="R3" s="55">
        <f>SUM(Q3/300)</f>
        <v>10.339569843750001</v>
      </c>
    </row>
    <row r="4" spans="1:18" ht="15.75" x14ac:dyDescent="0.3">
      <c r="A4" s="51">
        <v>2</v>
      </c>
      <c r="B4" s="13">
        <v>1.5</v>
      </c>
      <c r="C4" s="44">
        <f t="shared" si="0"/>
        <v>1.1660999999999999</v>
      </c>
      <c r="D4" s="13">
        <v>23</v>
      </c>
      <c r="E4" s="13">
        <v>10</v>
      </c>
      <c r="F4" s="13">
        <v>1</v>
      </c>
      <c r="G4" s="52">
        <f t="shared" si="1"/>
        <v>0.94874999999999998</v>
      </c>
      <c r="H4" s="13">
        <v>1.3</v>
      </c>
      <c r="I4" s="13">
        <v>4050</v>
      </c>
      <c r="J4" s="53">
        <f t="shared" si="2"/>
        <v>3842.4375</v>
      </c>
      <c r="K4" s="54">
        <f t="shared" si="3"/>
        <v>390</v>
      </c>
      <c r="L4" s="44">
        <f>SUM(G4*100)</f>
        <v>94.875</v>
      </c>
      <c r="M4" s="44">
        <f>SUM(J4+L4)</f>
        <v>3937.3125</v>
      </c>
      <c r="N4" s="53">
        <f>SUM(M4+K4)</f>
        <v>4327.3125</v>
      </c>
      <c r="O4" s="53">
        <f>N4+(N4*4.1%)</f>
        <v>4504.7323125000003</v>
      </c>
      <c r="P4" s="53">
        <f>SUM(O4/300)</f>
        <v>15.015774375000001</v>
      </c>
      <c r="Q4" s="44">
        <f>O4+(O4*5%)</f>
        <v>4729.9689281250003</v>
      </c>
      <c r="R4" s="55">
        <f>SUM(Q4/300)</f>
        <v>15.766563093750001</v>
      </c>
    </row>
    <row r="5" spans="1:18" ht="15.75" x14ac:dyDescent="0.3">
      <c r="A5" s="47">
        <v>3</v>
      </c>
      <c r="B5" s="13">
        <v>2.5</v>
      </c>
      <c r="C5" s="44">
        <f t="shared" si="0"/>
        <v>2.028</v>
      </c>
      <c r="D5" s="13">
        <v>40</v>
      </c>
      <c r="E5" s="13">
        <v>10</v>
      </c>
      <c r="F5" s="13">
        <v>1</v>
      </c>
      <c r="G5" s="52">
        <f t="shared" si="1"/>
        <v>1.65</v>
      </c>
      <c r="H5" s="13">
        <v>1.6</v>
      </c>
      <c r="I5" s="13">
        <v>4050</v>
      </c>
      <c r="J5" s="53">
        <f t="shared" si="2"/>
        <v>6682.5</v>
      </c>
      <c r="K5" s="54">
        <f t="shared" si="3"/>
        <v>480</v>
      </c>
      <c r="L5" s="44">
        <f t="shared" ref="L5:L14" si="4">SUM(G5*100)</f>
        <v>165</v>
      </c>
      <c r="M5" s="44">
        <f t="shared" ref="M5:M14" si="5">SUM(J5+L5)</f>
        <v>6847.5</v>
      </c>
      <c r="N5" s="53">
        <f t="shared" ref="N5:N14" si="6">SUM(M5+K5)</f>
        <v>7327.5</v>
      </c>
      <c r="O5" s="53">
        <f t="shared" ref="O5:O14" si="7">N5+(N5*4.1%)</f>
        <v>7627.9274999999998</v>
      </c>
      <c r="P5" s="53">
        <f t="shared" ref="P5:P14" si="8">SUM(O5/300)</f>
        <v>25.426424999999998</v>
      </c>
      <c r="Q5" s="44">
        <f t="shared" ref="Q5:Q14" si="9">O5+(O5*5%)</f>
        <v>8009.323875</v>
      </c>
      <c r="R5" s="55">
        <f t="shared" ref="R5:R14" si="10">SUM(Q5/300)</f>
        <v>26.697746250000002</v>
      </c>
    </row>
    <row r="6" spans="1:18" ht="15.75" x14ac:dyDescent="0.3">
      <c r="A6" s="51">
        <v>4</v>
      </c>
      <c r="B6" s="13">
        <v>4</v>
      </c>
      <c r="C6" s="44">
        <f t="shared" si="0"/>
        <v>3.0419999999999998</v>
      </c>
      <c r="D6" s="13">
        <v>60</v>
      </c>
      <c r="E6" s="13">
        <v>10</v>
      </c>
      <c r="F6" s="13">
        <v>1</v>
      </c>
      <c r="G6" s="52">
        <f t="shared" si="1"/>
        <v>2.4750000000000001</v>
      </c>
      <c r="H6" s="13">
        <v>2.5</v>
      </c>
      <c r="I6" s="13">
        <v>4050</v>
      </c>
      <c r="J6" s="53">
        <f t="shared" si="2"/>
        <v>10023.75</v>
      </c>
      <c r="K6" s="54">
        <f t="shared" si="3"/>
        <v>750</v>
      </c>
      <c r="L6" s="44">
        <f t="shared" si="4"/>
        <v>247.5</v>
      </c>
      <c r="M6" s="44">
        <f t="shared" si="5"/>
        <v>10271.25</v>
      </c>
      <c r="N6" s="53">
        <f t="shared" si="6"/>
        <v>11021.25</v>
      </c>
      <c r="O6" s="53">
        <f t="shared" si="7"/>
        <v>11473.12125</v>
      </c>
      <c r="P6" s="53">
        <f t="shared" si="8"/>
        <v>38.243737500000002</v>
      </c>
      <c r="Q6" s="44">
        <f t="shared" si="9"/>
        <v>12046.7773125</v>
      </c>
      <c r="R6" s="55">
        <f t="shared" si="10"/>
        <v>40.155924374999998</v>
      </c>
    </row>
    <row r="7" spans="1:18" ht="15.75" x14ac:dyDescent="0.3">
      <c r="A7" s="47">
        <v>5</v>
      </c>
      <c r="B7" s="13">
        <v>6</v>
      </c>
      <c r="C7" s="44">
        <f t="shared" si="0"/>
        <v>5.07</v>
      </c>
      <c r="D7" s="13">
        <v>100</v>
      </c>
      <c r="E7" s="13">
        <v>10</v>
      </c>
      <c r="F7" s="13">
        <v>1</v>
      </c>
      <c r="G7" s="52">
        <f t="shared" si="1"/>
        <v>4.125</v>
      </c>
      <c r="H7" s="13">
        <v>3</v>
      </c>
      <c r="I7" s="13">
        <v>4050</v>
      </c>
      <c r="J7" s="53">
        <f t="shared" si="2"/>
        <v>16706.25</v>
      </c>
      <c r="K7" s="54">
        <f t="shared" si="3"/>
        <v>900</v>
      </c>
      <c r="L7" s="44">
        <f t="shared" si="4"/>
        <v>412.5</v>
      </c>
      <c r="M7" s="44">
        <f t="shared" si="5"/>
        <v>17118.75</v>
      </c>
      <c r="N7" s="53">
        <f t="shared" si="6"/>
        <v>18018.75</v>
      </c>
      <c r="O7" s="53">
        <f t="shared" si="7"/>
        <v>18757.518749999999</v>
      </c>
      <c r="P7" s="53">
        <f t="shared" si="8"/>
        <v>62.525062499999997</v>
      </c>
      <c r="Q7" s="44">
        <f t="shared" si="9"/>
        <v>19695.3946875</v>
      </c>
      <c r="R7" s="55">
        <f t="shared" si="10"/>
        <v>65.651315624999995</v>
      </c>
    </row>
    <row r="8" spans="1:18" ht="15.75" x14ac:dyDescent="0.3">
      <c r="A8" s="51">
        <v>6</v>
      </c>
      <c r="B8" s="55">
        <v>10</v>
      </c>
      <c r="C8" s="44">
        <f t="shared" si="0"/>
        <v>9.1259999999999994</v>
      </c>
      <c r="D8" s="55">
        <v>180</v>
      </c>
      <c r="E8" s="55">
        <v>10</v>
      </c>
      <c r="F8" s="13">
        <v>1</v>
      </c>
      <c r="G8" s="52">
        <f t="shared" si="1"/>
        <v>7.4249999999999998</v>
      </c>
      <c r="H8" s="55">
        <v>4.0999999999999996</v>
      </c>
      <c r="I8" s="13">
        <v>4050</v>
      </c>
      <c r="J8" s="53">
        <f t="shared" si="2"/>
        <v>30071.25</v>
      </c>
      <c r="K8" s="54">
        <f t="shared" si="3"/>
        <v>1230</v>
      </c>
      <c r="L8" s="44">
        <f t="shared" si="4"/>
        <v>742.5</v>
      </c>
      <c r="M8" s="44">
        <f t="shared" si="5"/>
        <v>30813.75</v>
      </c>
      <c r="N8" s="53">
        <f t="shared" si="6"/>
        <v>32043.75</v>
      </c>
      <c r="O8" s="53">
        <f t="shared" si="7"/>
        <v>33357.543749999997</v>
      </c>
      <c r="P8" s="53">
        <f t="shared" si="8"/>
        <v>111.19181249999998</v>
      </c>
      <c r="Q8" s="44">
        <f t="shared" si="9"/>
        <v>35025.420937499999</v>
      </c>
      <c r="R8" s="55">
        <f t="shared" si="10"/>
        <v>116.751403125</v>
      </c>
    </row>
    <row r="9" spans="1:18" ht="15.75" x14ac:dyDescent="0.3">
      <c r="A9" s="47">
        <v>7</v>
      </c>
      <c r="B9" s="55">
        <v>16</v>
      </c>
      <c r="C9" s="44">
        <f t="shared" si="0"/>
        <v>14.196</v>
      </c>
      <c r="D9" s="55">
        <v>280</v>
      </c>
      <c r="E9" s="55">
        <v>10</v>
      </c>
      <c r="F9" s="13">
        <v>1</v>
      </c>
      <c r="G9" s="52">
        <f t="shared" si="1"/>
        <v>11.55</v>
      </c>
      <c r="H9" s="55">
        <v>4.5999999999999996</v>
      </c>
      <c r="I9" s="13">
        <v>4050</v>
      </c>
      <c r="J9" s="53">
        <f t="shared" si="2"/>
        <v>46777.5</v>
      </c>
      <c r="K9" s="54">
        <f t="shared" si="3"/>
        <v>1380</v>
      </c>
      <c r="L9" s="44">
        <f t="shared" si="4"/>
        <v>1155</v>
      </c>
      <c r="M9" s="44">
        <f t="shared" si="5"/>
        <v>47932.5</v>
      </c>
      <c r="N9" s="53">
        <f t="shared" si="6"/>
        <v>49312.5</v>
      </c>
      <c r="O9" s="53">
        <f t="shared" si="7"/>
        <v>51334.3125</v>
      </c>
      <c r="P9" s="53">
        <f t="shared" si="8"/>
        <v>171.114375</v>
      </c>
      <c r="Q9" s="44">
        <f t="shared" si="9"/>
        <v>53901.028124999997</v>
      </c>
      <c r="R9" s="55">
        <f t="shared" si="10"/>
        <v>179.67009374999998</v>
      </c>
    </row>
    <row r="10" spans="1:18" ht="15.75" x14ac:dyDescent="0.3">
      <c r="A10" s="51">
        <v>8</v>
      </c>
      <c r="B10" s="55">
        <v>25</v>
      </c>
      <c r="C10" s="44">
        <f t="shared" si="0"/>
        <v>19.874400000000001</v>
      </c>
      <c r="D10" s="55">
        <v>200</v>
      </c>
      <c r="E10" s="55">
        <v>14</v>
      </c>
      <c r="F10" s="13">
        <v>1</v>
      </c>
      <c r="G10" s="52">
        <f t="shared" si="1"/>
        <v>16.170000000000002</v>
      </c>
      <c r="H10" s="55">
        <v>6</v>
      </c>
      <c r="I10" s="13">
        <v>4050</v>
      </c>
      <c r="J10" s="53">
        <f t="shared" si="2"/>
        <v>65488.500000000007</v>
      </c>
      <c r="K10" s="54">
        <f t="shared" si="3"/>
        <v>1800</v>
      </c>
      <c r="L10" s="44">
        <f t="shared" si="4"/>
        <v>1617.0000000000002</v>
      </c>
      <c r="M10" s="44">
        <f t="shared" si="5"/>
        <v>67105.500000000015</v>
      </c>
      <c r="N10" s="53">
        <f t="shared" si="6"/>
        <v>68905.500000000015</v>
      </c>
      <c r="O10" s="53">
        <f t="shared" si="7"/>
        <v>71730.625500000009</v>
      </c>
      <c r="P10" s="53">
        <f t="shared" si="8"/>
        <v>239.10208500000002</v>
      </c>
      <c r="Q10" s="44">
        <f t="shared" si="9"/>
        <v>75317.15677500001</v>
      </c>
      <c r="R10" s="55">
        <f t="shared" si="10"/>
        <v>251.05718925000002</v>
      </c>
    </row>
    <row r="11" spans="1:18" ht="15.75" x14ac:dyDescent="0.3">
      <c r="A11" s="47">
        <v>9</v>
      </c>
      <c r="B11" s="55">
        <v>35</v>
      </c>
      <c r="C11" s="44">
        <f t="shared" si="0"/>
        <v>29.811599999999999</v>
      </c>
      <c r="D11" s="55">
        <v>300</v>
      </c>
      <c r="E11" s="55">
        <v>14</v>
      </c>
      <c r="F11" s="13">
        <v>1</v>
      </c>
      <c r="G11" s="52">
        <f t="shared" si="1"/>
        <v>24.254999999999999</v>
      </c>
      <c r="H11" s="55">
        <v>6.5</v>
      </c>
      <c r="I11" s="13">
        <v>4050</v>
      </c>
      <c r="J11" s="53">
        <f t="shared" si="2"/>
        <v>98232.75</v>
      </c>
      <c r="K11" s="54">
        <f t="shared" si="3"/>
        <v>1950</v>
      </c>
      <c r="L11" s="44">
        <f t="shared" si="4"/>
        <v>2425.5</v>
      </c>
      <c r="M11" s="44">
        <f t="shared" si="5"/>
        <v>100658.25</v>
      </c>
      <c r="N11" s="53">
        <f t="shared" si="6"/>
        <v>102608.25</v>
      </c>
      <c r="O11" s="53">
        <f t="shared" si="7"/>
        <v>106815.18825000001</v>
      </c>
      <c r="P11" s="53">
        <f t="shared" si="8"/>
        <v>356.05062750000002</v>
      </c>
      <c r="Q11" s="44">
        <f t="shared" si="9"/>
        <v>112155.94766250001</v>
      </c>
      <c r="R11" s="55">
        <f t="shared" si="10"/>
        <v>373.85315887500002</v>
      </c>
    </row>
    <row r="12" spans="1:18" ht="15.75" x14ac:dyDescent="0.3">
      <c r="A12" s="51">
        <v>10</v>
      </c>
      <c r="B12" s="55">
        <v>50</v>
      </c>
      <c r="C12" s="44">
        <f t="shared" si="0"/>
        <v>39.748800000000003</v>
      </c>
      <c r="D12" s="55">
        <v>400</v>
      </c>
      <c r="E12" s="55">
        <v>14</v>
      </c>
      <c r="F12" s="13">
        <v>1</v>
      </c>
      <c r="G12" s="52">
        <f t="shared" si="1"/>
        <v>32.340000000000003</v>
      </c>
      <c r="H12" s="55">
        <v>10.5</v>
      </c>
      <c r="I12" s="13">
        <v>4050</v>
      </c>
      <c r="J12" s="53">
        <f t="shared" si="2"/>
        <v>130977.00000000001</v>
      </c>
      <c r="K12" s="54">
        <f t="shared" si="3"/>
        <v>3150</v>
      </c>
      <c r="L12" s="44">
        <f t="shared" si="4"/>
        <v>3234.0000000000005</v>
      </c>
      <c r="M12" s="44">
        <f t="shared" si="5"/>
        <v>134211.00000000003</v>
      </c>
      <c r="N12" s="53">
        <f t="shared" si="6"/>
        <v>137361.00000000003</v>
      </c>
      <c r="O12" s="53">
        <f t="shared" si="7"/>
        <v>142992.80100000004</v>
      </c>
      <c r="P12" s="53">
        <f t="shared" si="8"/>
        <v>476.64267000000012</v>
      </c>
      <c r="Q12" s="44">
        <f t="shared" si="9"/>
        <v>150142.44105000002</v>
      </c>
      <c r="R12" s="55">
        <f t="shared" si="10"/>
        <v>500.47480350000006</v>
      </c>
    </row>
    <row r="13" spans="1:18" ht="15.75" x14ac:dyDescent="0.3">
      <c r="A13" s="47">
        <v>11</v>
      </c>
      <c r="B13" s="55">
        <v>70</v>
      </c>
      <c r="C13" s="44">
        <f t="shared" si="0"/>
        <v>59.623199999999997</v>
      </c>
      <c r="D13" s="55">
        <v>600</v>
      </c>
      <c r="E13" s="55">
        <v>14</v>
      </c>
      <c r="F13" s="13">
        <v>1</v>
      </c>
      <c r="G13" s="52">
        <f t="shared" si="1"/>
        <v>48.51</v>
      </c>
      <c r="H13" s="55">
        <v>16</v>
      </c>
      <c r="I13" s="13">
        <v>4050</v>
      </c>
      <c r="J13" s="53">
        <f t="shared" si="2"/>
        <v>196465.5</v>
      </c>
      <c r="K13" s="54">
        <f t="shared" si="3"/>
        <v>4800</v>
      </c>
      <c r="L13" s="44">
        <f t="shared" si="4"/>
        <v>4851</v>
      </c>
      <c r="M13" s="44">
        <f t="shared" si="5"/>
        <v>201316.5</v>
      </c>
      <c r="N13" s="53">
        <f t="shared" si="6"/>
        <v>206116.5</v>
      </c>
      <c r="O13" s="53">
        <f t="shared" si="7"/>
        <v>214567.27650000001</v>
      </c>
      <c r="P13" s="53">
        <f t="shared" si="8"/>
        <v>715.22425499999997</v>
      </c>
      <c r="Q13" s="44">
        <f t="shared" si="9"/>
        <v>225295.64032500001</v>
      </c>
      <c r="R13" s="55">
        <f t="shared" si="10"/>
        <v>750.98546775</v>
      </c>
    </row>
    <row r="14" spans="1:18" ht="15.75" x14ac:dyDescent="0.3">
      <c r="A14" s="51">
        <v>12</v>
      </c>
      <c r="B14" s="55">
        <v>95</v>
      </c>
      <c r="C14" s="44">
        <f t="shared" si="0"/>
        <v>79.497600000000006</v>
      </c>
      <c r="D14" s="55">
        <v>800</v>
      </c>
      <c r="E14" s="55">
        <v>14</v>
      </c>
      <c r="F14" s="13">
        <v>1</v>
      </c>
      <c r="G14" s="52">
        <f t="shared" si="1"/>
        <v>64.680000000000007</v>
      </c>
      <c r="H14" s="55">
        <v>20</v>
      </c>
      <c r="I14" s="13">
        <v>4050</v>
      </c>
      <c r="J14" s="53">
        <f t="shared" si="2"/>
        <v>261954.00000000003</v>
      </c>
      <c r="K14" s="54">
        <f t="shared" si="3"/>
        <v>6000</v>
      </c>
      <c r="L14" s="44">
        <f t="shared" si="4"/>
        <v>6468.0000000000009</v>
      </c>
      <c r="M14" s="44">
        <f t="shared" si="5"/>
        <v>268422.00000000006</v>
      </c>
      <c r="N14" s="53">
        <f t="shared" si="6"/>
        <v>274422.00000000006</v>
      </c>
      <c r="O14" s="53">
        <f t="shared" si="7"/>
        <v>285673.30200000008</v>
      </c>
      <c r="P14" s="53">
        <f t="shared" si="8"/>
        <v>952.24434000000031</v>
      </c>
      <c r="Q14" s="44">
        <f t="shared" si="9"/>
        <v>299956.96710000007</v>
      </c>
      <c r="R14" s="55">
        <f t="shared" si="10"/>
        <v>999.85655700000018</v>
      </c>
    </row>
    <row r="15" spans="1:18" s="63" customFormat="1" ht="31.5" x14ac:dyDescent="0.5">
      <c r="A15" s="66" t="s">
        <v>28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</row>
    <row r="16" spans="1:18" s="50" customFormat="1" ht="40.5" x14ac:dyDescent="0.3">
      <c r="A16" s="47" t="s">
        <v>25</v>
      </c>
      <c r="B16" s="48" t="s">
        <v>1</v>
      </c>
      <c r="C16" s="48" t="s">
        <v>26</v>
      </c>
      <c r="D16" s="48" t="s">
        <v>7</v>
      </c>
      <c r="E16" s="48" t="s">
        <v>2</v>
      </c>
      <c r="F16" s="48" t="s">
        <v>8</v>
      </c>
      <c r="G16" s="49" t="s">
        <v>36</v>
      </c>
      <c r="H16" s="48" t="s">
        <v>10</v>
      </c>
      <c r="I16" s="48" t="s">
        <v>9</v>
      </c>
      <c r="J16" s="48" t="s">
        <v>12</v>
      </c>
      <c r="K16" s="48" t="s">
        <v>35</v>
      </c>
      <c r="L16" s="46" t="s">
        <v>14</v>
      </c>
      <c r="M16" s="46" t="s">
        <v>37</v>
      </c>
      <c r="N16" s="48" t="s">
        <v>16</v>
      </c>
      <c r="O16" s="48" t="s">
        <v>4</v>
      </c>
      <c r="P16" s="48" t="s">
        <v>17</v>
      </c>
      <c r="Q16" s="48" t="s">
        <v>5</v>
      </c>
      <c r="R16" s="48" t="s">
        <v>18</v>
      </c>
    </row>
    <row r="17" spans="1:18" x14ac:dyDescent="0.25">
      <c r="A17" s="51">
        <v>1</v>
      </c>
      <c r="B17" s="13">
        <v>1.5</v>
      </c>
      <c r="C17" s="45">
        <f>SUM(E17*E17*D17*507/1000000)</f>
        <v>0.95062500000000005</v>
      </c>
      <c r="D17" s="55">
        <v>3</v>
      </c>
      <c r="E17" s="55">
        <v>25</v>
      </c>
      <c r="F17" s="55">
        <v>1</v>
      </c>
      <c r="G17" s="45">
        <f>SUM(E17*E17*D17*F17*330/800000)</f>
        <v>0.7734375</v>
      </c>
      <c r="H17" s="56">
        <v>1.3</v>
      </c>
      <c r="I17" s="57">
        <v>4050</v>
      </c>
      <c r="J17" s="45">
        <f t="shared" ref="J17:J27" si="11">SUM(G17*I17)</f>
        <v>3132.421875</v>
      </c>
      <c r="K17" s="58">
        <f t="shared" ref="K17:K27" si="12">SUM(H17*300)</f>
        <v>390</v>
      </c>
      <c r="L17" s="45">
        <f>SUM(G17*50)</f>
        <v>38.671875</v>
      </c>
      <c r="M17" s="45">
        <f>SUM(J17+L17)</f>
        <v>3171.09375</v>
      </c>
      <c r="N17" s="45">
        <f>SUM(M17+K17)</f>
        <v>3561.09375</v>
      </c>
      <c r="O17" s="45">
        <f>N17+(N17*4.1%)</f>
        <v>3707.09859375</v>
      </c>
      <c r="P17" s="45">
        <f>SUM(O17/300)</f>
        <v>12.3569953125</v>
      </c>
      <c r="Q17" s="45">
        <f>O17+(O17*5%)</f>
        <v>3892.4535234374998</v>
      </c>
      <c r="R17" s="55">
        <f>SUM(Q17/300)</f>
        <v>12.974845078125</v>
      </c>
    </row>
    <row r="18" spans="1:18" x14ac:dyDescent="0.25">
      <c r="A18" s="51">
        <v>2</v>
      </c>
      <c r="B18" s="13">
        <v>2.5</v>
      </c>
      <c r="C18" s="45">
        <f t="shared" ref="C18:C27" si="13">SUM(E18*E18*D18*507/1000000)</f>
        <v>2.2181250000000001</v>
      </c>
      <c r="D18" s="55">
        <v>7</v>
      </c>
      <c r="E18" s="55">
        <v>25</v>
      </c>
      <c r="F18" s="55">
        <v>1</v>
      </c>
      <c r="G18" s="45">
        <f t="shared" ref="G18:G27" si="14">SUM(E18*E18*D18*F18*330/800000)</f>
        <v>1.8046875</v>
      </c>
      <c r="H18" s="56">
        <v>1.6</v>
      </c>
      <c r="I18" s="57">
        <v>4050</v>
      </c>
      <c r="J18" s="45">
        <f t="shared" si="11"/>
        <v>7308.984375</v>
      </c>
      <c r="K18" s="58">
        <f t="shared" si="12"/>
        <v>480</v>
      </c>
      <c r="L18" s="45">
        <f t="shared" ref="L18:L27" si="15">SUM(G18*50)</f>
        <v>90.234375</v>
      </c>
      <c r="M18" s="45">
        <f t="shared" ref="M18:M27" si="16">SUM(J18+L18)</f>
        <v>7399.21875</v>
      </c>
      <c r="N18" s="45">
        <f t="shared" ref="N18:N27" si="17">SUM(M18+K18)</f>
        <v>7879.21875</v>
      </c>
      <c r="O18" s="45">
        <f t="shared" ref="O18:O27" si="18">N18+(N18*4.1%)</f>
        <v>8202.2667187499992</v>
      </c>
      <c r="P18" s="45">
        <f t="shared" ref="P18:P27" si="19">SUM(O18/300)</f>
        <v>27.340889062499997</v>
      </c>
      <c r="Q18" s="45">
        <f t="shared" ref="Q18:Q27" si="20">O18+(O18*5%)</f>
        <v>8612.3800546874991</v>
      </c>
      <c r="R18" s="55">
        <f t="shared" ref="R18:R27" si="21">SUM(Q18/300)</f>
        <v>28.707933515624998</v>
      </c>
    </row>
    <row r="19" spans="1:18" x14ac:dyDescent="0.25">
      <c r="A19" s="51">
        <v>3</v>
      </c>
      <c r="B19" s="13">
        <v>4</v>
      </c>
      <c r="C19" s="45">
        <f t="shared" si="13"/>
        <v>3.1941000000000002</v>
      </c>
      <c r="D19" s="55">
        <v>7</v>
      </c>
      <c r="E19" s="55">
        <v>30</v>
      </c>
      <c r="F19" s="55">
        <v>1</v>
      </c>
      <c r="G19" s="45">
        <f t="shared" si="14"/>
        <v>2.5987499999999999</v>
      </c>
      <c r="H19" s="56">
        <v>2.5</v>
      </c>
      <c r="I19" s="57">
        <v>4050</v>
      </c>
      <c r="J19" s="45">
        <f t="shared" si="11"/>
        <v>10524.9375</v>
      </c>
      <c r="K19" s="58">
        <f t="shared" si="12"/>
        <v>750</v>
      </c>
      <c r="L19" s="45">
        <f t="shared" si="15"/>
        <v>129.9375</v>
      </c>
      <c r="M19" s="45">
        <f t="shared" si="16"/>
        <v>10654.875</v>
      </c>
      <c r="N19" s="45">
        <f t="shared" si="17"/>
        <v>11404.875</v>
      </c>
      <c r="O19" s="45">
        <f t="shared" si="18"/>
        <v>11872.474875</v>
      </c>
      <c r="P19" s="45">
        <f t="shared" si="19"/>
        <v>39.574916250000001</v>
      </c>
      <c r="Q19" s="45">
        <f t="shared" si="20"/>
        <v>12466.09861875</v>
      </c>
      <c r="R19" s="55">
        <f t="shared" si="21"/>
        <v>41.553662062500003</v>
      </c>
    </row>
    <row r="20" spans="1:18" x14ac:dyDescent="0.25">
      <c r="A20" s="51">
        <v>4</v>
      </c>
      <c r="B20" s="13">
        <v>6</v>
      </c>
      <c r="C20" s="45">
        <f t="shared" si="13"/>
        <v>5.1247559999999996</v>
      </c>
      <c r="D20" s="55">
        <v>7</v>
      </c>
      <c r="E20" s="55">
        <v>38</v>
      </c>
      <c r="F20" s="55">
        <v>1</v>
      </c>
      <c r="G20" s="45">
        <f t="shared" si="14"/>
        <v>4.1695500000000001</v>
      </c>
      <c r="H20" s="56">
        <v>3</v>
      </c>
      <c r="I20" s="57">
        <v>4050</v>
      </c>
      <c r="J20" s="45">
        <f t="shared" si="11"/>
        <v>16886.677500000002</v>
      </c>
      <c r="K20" s="58">
        <f t="shared" si="12"/>
        <v>900</v>
      </c>
      <c r="L20" s="45">
        <f t="shared" si="15"/>
        <v>208.47749999999999</v>
      </c>
      <c r="M20" s="45">
        <f t="shared" si="16"/>
        <v>17095.155000000002</v>
      </c>
      <c r="N20" s="45">
        <f t="shared" si="17"/>
        <v>17995.155000000002</v>
      </c>
      <c r="O20" s="45">
        <f t="shared" si="18"/>
        <v>18732.956355000002</v>
      </c>
      <c r="P20" s="45">
        <f t="shared" si="19"/>
        <v>62.443187850000008</v>
      </c>
      <c r="Q20" s="45">
        <f t="shared" si="20"/>
        <v>19669.604172750001</v>
      </c>
      <c r="R20" s="55">
        <f t="shared" si="21"/>
        <v>65.56534724250001</v>
      </c>
    </row>
    <row r="21" spans="1:18" x14ac:dyDescent="0.25">
      <c r="A21" s="51">
        <v>5</v>
      </c>
      <c r="B21" s="55">
        <v>10</v>
      </c>
      <c r="C21" s="45">
        <f t="shared" si="13"/>
        <v>7.509684</v>
      </c>
      <c r="D21" s="55">
        <v>7</v>
      </c>
      <c r="E21" s="55">
        <v>46</v>
      </c>
      <c r="F21" s="55">
        <v>1</v>
      </c>
      <c r="G21" s="45">
        <f t="shared" si="14"/>
        <v>6.1099500000000004</v>
      </c>
      <c r="H21" s="55">
        <v>4.0999999999999996</v>
      </c>
      <c r="I21" s="57">
        <v>4050</v>
      </c>
      <c r="J21" s="45">
        <f t="shared" si="11"/>
        <v>24745.297500000001</v>
      </c>
      <c r="K21" s="58">
        <f t="shared" si="12"/>
        <v>1230</v>
      </c>
      <c r="L21" s="45">
        <f t="shared" si="15"/>
        <v>305.4975</v>
      </c>
      <c r="M21" s="45">
        <f t="shared" si="16"/>
        <v>25050.795000000002</v>
      </c>
      <c r="N21" s="45">
        <f t="shared" si="17"/>
        <v>26280.795000000002</v>
      </c>
      <c r="O21" s="45">
        <f t="shared" si="18"/>
        <v>27358.307595000002</v>
      </c>
      <c r="P21" s="45">
        <f t="shared" si="19"/>
        <v>91.194358650000012</v>
      </c>
      <c r="Q21" s="45">
        <f t="shared" si="20"/>
        <v>28726.222974750002</v>
      </c>
      <c r="R21" s="55">
        <f t="shared" si="21"/>
        <v>95.754076582500005</v>
      </c>
    </row>
    <row r="22" spans="1:18" x14ac:dyDescent="0.25">
      <c r="A22" s="51">
        <v>6</v>
      </c>
      <c r="B22" s="55">
        <v>16</v>
      </c>
      <c r="C22" s="45">
        <f t="shared" si="13"/>
        <v>12.776400000000001</v>
      </c>
      <c r="D22" s="55">
        <v>7</v>
      </c>
      <c r="E22" s="55">
        <v>60</v>
      </c>
      <c r="F22" s="55">
        <v>1</v>
      </c>
      <c r="G22" s="45">
        <f t="shared" si="14"/>
        <v>10.395</v>
      </c>
      <c r="H22" s="55">
        <v>4.5999999999999996</v>
      </c>
      <c r="I22" s="57">
        <v>4050</v>
      </c>
      <c r="J22" s="45">
        <f t="shared" si="11"/>
        <v>42099.75</v>
      </c>
      <c r="K22" s="58">
        <f t="shared" si="12"/>
        <v>1380</v>
      </c>
      <c r="L22" s="45">
        <f t="shared" si="15"/>
        <v>519.75</v>
      </c>
      <c r="M22" s="45">
        <f t="shared" si="16"/>
        <v>42619.5</v>
      </c>
      <c r="N22" s="45">
        <f t="shared" si="17"/>
        <v>43999.5</v>
      </c>
      <c r="O22" s="45">
        <f t="shared" si="18"/>
        <v>45803.479500000001</v>
      </c>
      <c r="P22" s="45">
        <f t="shared" si="19"/>
        <v>152.67826500000001</v>
      </c>
      <c r="Q22" s="45">
        <f t="shared" si="20"/>
        <v>48093.653474999999</v>
      </c>
      <c r="R22" s="55">
        <f t="shared" si="21"/>
        <v>160.31217824999999</v>
      </c>
    </row>
    <row r="23" spans="1:18" x14ac:dyDescent="0.25">
      <c r="A23" s="51">
        <v>7</v>
      </c>
      <c r="B23" s="55">
        <v>25</v>
      </c>
      <c r="C23" s="45">
        <f t="shared" si="13"/>
        <v>24.0825</v>
      </c>
      <c r="D23" s="55">
        <v>19</v>
      </c>
      <c r="E23" s="55">
        <v>50</v>
      </c>
      <c r="F23" s="55">
        <v>1</v>
      </c>
      <c r="G23" s="45">
        <f t="shared" si="14"/>
        <v>19.59375</v>
      </c>
      <c r="H23" s="55">
        <v>6</v>
      </c>
      <c r="I23" s="57">
        <v>4050</v>
      </c>
      <c r="J23" s="45">
        <f t="shared" si="11"/>
        <v>79354.6875</v>
      </c>
      <c r="K23" s="58">
        <f t="shared" si="12"/>
        <v>1800</v>
      </c>
      <c r="L23" s="45">
        <f t="shared" si="15"/>
        <v>979.6875</v>
      </c>
      <c r="M23" s="45">
        <f t="shared" si="16"/>
        <v>80334.375</v>
      </c>
      <c r="N23" s="45">
        <f t="shared" si="17"/>
        <v>82134.375</v>
      </c>
      <c r="O23" s="45">
        <f t="shared" si="18"/>
        <v>85501.884374999994</v>
      </c>
      <c r="P23" s="45">
        <f t="shared" si="19"/>
        <v>285.00628124999997</v>
      </c>
      <c r="Q23" s="45">
        <f t="shared" si="20"/>
        <v>89776.978593749998</v>
      </c>
      <c r="R23" s="55">
        <f t="shared" si="21"/>
        <v>299.2565953125</v>
      </c>
    </row>
    <row r="24" spans="1:18" x14ac:dyDescent="0.25">
      <c r="A24" s="51">
        <v>8</v>
      </c>
      <c r="B24" s="55">
        <v>35</v>
      </c>
      <c r="C24" s="45">
        <f t="shared" si="13"/>
        <v>32.405411999999998</v>
      </c>
      <c r="D24" s="55">
        <v>19</v>
      </c>
      <c r="E24" s="55">
        <v>58</v>
      </c>
      <c r="F24" s="55">
        <v>1</v>
      </c>
      <c r="G24" s="45">
        <f t="shared" si="14"/>
        <v>26.365349999999999</v>
      </c>
      <c r="H24" s="55">
        <v>6.5</v>
      </c>
      <c r="I24" s="57">
        <v>4050</v>
      </c>
      <c r="J24" s="45">
        <f t="shared" si="11"/>
        <v>106779.6675</v>
      </c>
      <c r="K24" s="58">
        <f t="shared" si="12"/>
        <v>1950</v>
      </c>
      <c r="L24" s="45">
        <f t="shared" si="15"/>
        <v>1318.2674999999999</v>
      </c>
      <c r="M24" s="45">
        <f t="shared" si="16"/>
        <v>108097.935</v>
      </c>
      <c r="N24" s="45">
        <f t="shared" si="17"/>
        <v>110047.935</v>
      </c>
      <c r="O24" s="45">
        <f t="shared" si="18"/>
        <v>114559.900335</v>
      </c>
      <c r="P24" s="45">
        <f t="shared" si="19"/>
        <v>381.86633445000001</v>
      </c>
      <c r="Q24" s="45">
        <f t="shared" si="20"/>
        <v>120287.89535175</v>
      </c>
      <c r="R24" s="55">
        <f t="shared" si="21"/>
        <v>400.9596511725</v>
      </c>
    </row>
    <row r="25" spans="1:18" x14ac:dyDescent="0.25">
      <c r="A25" s="51">
        <v>9</v>
      </c>
      <c r="B25" s="55">
        <v>50</v>
      </c>
      <c r="C25" s="45">
        <f t="shared" si="13"/>
        <v>44.542991999999998</v>
      </c>
      <c r="D25" s="55">
        <v>19</v>
      </c>
      <c r="E25" s="55">
        <v>68</v>
      </c>
      <c r="F25" s="55">
        <v>1</v>
      </c>
      <c r="G25" s="45">
        <f t="shared" si="14"/>
        <v>36.240600000000001</v>
      </c>
      <c r="H25" s="55">
        <v>10.5</v>
      </c>
      <c r="I25" s="57">
        <v>4050</v>
      </c>
      <c r="J25" s="45">
        <f t="shared" si="11"/>
        <v>146774.43</v>
      </c>
      <c r="K25" s="58">
        <f t="shared" si="12"/>
        <v>3150</v>
      </c>
      <c r="L25" s="45">
        <f t="shared" si="15"/>
        <v>1812.03</v>
      </c>
      <c r="M25" s="45">
        <f t="shared" si="16"/>
        <v>148586.46</v>
      </c>
      <c r="N25" s="45">
        <f t="shared" si="17"/>
        <v>151736.46</v>
      </c>
      <c r="O25" s="45">
        <f t="shared" si="18"/>
        <v>157957.65485999998</v>
      </c>
      <c r="P25" s="45">
        <f t="shared" si="19"/>
        <v>526.52551619999997</v>
      </c>
      <c r="Q25" s="45">
        <f t="shared" si="20"/>
        <v>165855.53760299998</v>
      </c>
      <c r="R25" s="55">
        <f t="shared" si="21"/>
        <v>552.85179200999994</v>
      </c>
    </row>
    <row r="26" spans="1:18" x14ac:dyDescent="0.25">
      <c r="A26" s="51">
        <v>10</v>
      </c>
      <c r="B26" s="55">
        <v>70</v>
      </c>
      <c r="C26" s="45">
        <f t="shared" si="13"/>
        <v>58.406399999999998</v>
      </c>
      <c r="D26" s="55">
        <v>18</v>
      </c>
      <c r="E26" s="55">
        <v>80</v>
      </c>
      <c r="F26" s="55">
        <v>1</v>
      </c>
      <c r="G26" s="45">
        <f t="shared" si="14"/>
        <v>47.52</v>
      </c>
      <c r="H26" s="55">
        <v>16</v>
      </c>
      <c r="I26" s="57">
        <v>4050</v>
      </c>
      <c r="J26" s="45">
        <f t="shared" si="11"/>
        <v>192456</v>
      </c>
      <c r="K26" s="58">
        <f t="shared" si="12"/>
        <v>4800</v>
      </c>
      <c r="L26" s="45">
        <f t="shared" si="15"/>
        <v>2376</v>
      </c>
      <c r="M26" s="45">
        <f t="shared" si="16"/>
        <v>194832</v>
      </c>
      <c r="N26" s="45">
        <f t="shared" si="17"/>
        <v>199632</v>
      </c>
      <c r="O26" s="45">
        <f t="shared" si="18"/>
        <v>207816.91200000001</v>
      </c>
      <c r="P26" s="45">
        <f t="shared" si="19"/>
        <v>692.72304000000008</v>
      </c>
      <c r="Q26" s="45">
        <f t="shared" si="20"/>
        <v>218207.75760000001</v>
      </c>
      <c r="R26" s="55">
        <f t="shared" si="21"/>
        <v>727.35919200000001</v>
      </c>
    </row>
    <row r="27" spans="1:18" x14ac:dyDescent="0.25">
      <c r="A27" s="51">
        <v>11</v>
      </c>
      <c r="B27" s="55">
        <v>95</v>
      </c>
      <c r="C27" s="45">
        <f t="shared" si="13"/>
        <v>86.741615999999993</v>
      </c>
      <c r="D27" s="55">
        <v>37</v>
      </c>
      <c r="E27" s="55">
        <v>68</v>
      </c>
      <c r="F27" s="55">
        <v>1</v>
      </c>
      <c r="G27" s="45">
        <f t="shared" si="14"/>
        <v>70.573800000000006</v>
      </c>
      <c r="H27" s="55">
        <v>20</v>
      </c>
      <c r="I27" s="57">
        <v>4050</v>
      </c>
      <c r="J27" s="45">
        <f t="shared" si="11"/>
        <v>285823.89</v>
      </c>
      <c r="K27" s="58">
        <f t="shared" si="12"/>
        <v>6000</v>
      </c>
      <c r="L27" s="45">
        <f t="shared" si="15"/>
        <v>3528.6900000000005</v>
      </c>
      <c r="M27" s="45">
        <f t="shared" si="16"/>
        <v>289352.58</v>
      </c>
      <c r="N27" s="45">
        <f t="shared" si="17"/>
        <v>295352.58</v>
      </c>
      <c r="O27" s="45">
        <f t="shared" si="18"/>
        <v>307462.03578000003</v>
      </c>
      <c r="P27" s="45">
        <f t="shared" si="19"/>
        <v>1024.8734526000001</v>
      </c>
      <c r="Q27" s="45">
        <f t="shared" si="20"/>
        <v>322835.13756900001</v>
      </c>
      <c r="R27" s="55">
        <f t="shared" si="21"/>
        <v>1076.1171252300001</v>
      </c>
    </row>
    <row r="28" spans="1:18" ht="31.5" x14ac:dyDescent="0.25">
      <c r="A28" s="67" t="s">
        <v>29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s="60" customFormat="1" ht="40.5" x14ac:dyDescent="0.3">
      <c r="A29" s="47" t="s">
        <v>25</v>
      </c>
      <c r="B29" s="48" t="s">
        <v>1</v>
      </c>
      <c r="C29" s="48" t="s">
        <v>26</v>
      </c>
      <c r="D29" s="48" t="s">
        <v>7</v>
      </c>
      <c r="E29" s="48" t="s">
        <v>2</v>
      </c>
      <c r="F29" s="48" t="s">
        <v>8</v>
      </c>
      <c r="G29" s="49" t="s">
        <v>36</v>
      </c>
      <c r="H29" s="48" t="s">
        <v>10</v>
      </c>
      <c r="I29" s="48" t="s">
        <v>9</v>
      </c>
      <c r="J29" s="48" t="s">
        <v>12</v>
      </c>
      <c r="K29" s="48" t="s">
        <v>35</v>
      </c>
      <c r="L29" s="46" t="s">
        <v>14</v>
      </c>
      <c r="M29" s="46" t="s">
        <v>37</v>
      </c>
      <c r="N29" s="48" t="s">
        <v>16</v>
      </c>
      <c r="O29" s="48" t="s">
        <v>4</v>
      </c>
      <c r="P29" s="48" t="s">
        <v>17</v>
      </c>
      <c r="Q29" s="48" t="s">
        <v>5</v>
      </c>
      <c r="R29" s="48" t="s">
        <v>18</v>
      </c>
    </row>
    <row r="30" spans="1:18" ht="15.75" x14ac:dyDescent="0.3">
      <c r="A30" s="51">
        <v>1</v>
      </c>
      <c r="B30" s="13">
        <v>1.5</v>
      </c>
      <c r="C30" s="44">
        <f>SUM(E30*E30*D30*507/1000000)</f>
        <v>1.1660999999999999</v>
      </c>
      <c r="D30" s="13">
        <v>23</v>
      </c>
      <c r="E30" s="13">
        <v>10</v>
      </c>
      <c r="F30" s="13">
        <v>2</v>
      </c>
      <c r="G30" s="52">
        <f>SUM(E30*E30*D30*F30*330/800000)</f>
        <v>1.8975</v>
      </c>
      <c r="H30" s="13">
        <v>8.6</v>
      </c>
      <c r="I30" s="13">
        <v>4050</v>
      </c>
      <c r="J30" s="53">
        <f t="shared" ref="J30:J40" si="22">SUM(G30*I30)</f>
        <v>7684.875</v>
      </c>
      <c r="K30" s="54">
        <f t="shared" ref="K30:K40" si="23">SUM(H30*300)</f>
        <v>2580</v>
      </c>
      <c r="L30" s="44">
        <f>SUM(G30*100)</f>
        <v>189.75</v>
      </c>
      <c r="M30" s="44">
        <f>SUM(J30+L30)</f>
        <v>7874.625</v>
      </c>
      <c r="N30" s="53">
        <f>SUM(M30+K30)</f>
        <v>10454.625</v>
      </c>
      <c r="O30" s="53">
        <f>N30+(N30*4.1%)</f>
        <v>10883.264625</v>
      </c>
      <c r="P30" s="53">
        <f>SUM(O30/300)</f>
        <v>36.277548750000001</v>
      </c>
      <c r="Q30" s="44">
        <f>O30+(O30*5%)</f>
        <v>11427.42785625</v>
      </c>
      <c r="R30" s="55">
        <f>SUM(Q30/300)</f>
        <v>38.091426187499998</v>
      </c>
    </row>
    <row r="31" spans="1:18" ht="15.75" x14ac:dyDescent="0.3">
      <c r="A31" s="51">
        <v>2</v>
      </c>
      <c r="B31" s="13">
        <v>2.5</v>
      </c>
      <c r="C31" s="44">
        <f t="shared" ref="C31:C40" si="24">SUM(E31*E31*D31*507/1000000)</f>
        <v>2.028</v>
      </c>
      <c r="D31" s="13">
        <v>40</v>
      </c>
      <c r="E31" s="13">
        <v>10</v>
      </c>
      <c r="F31" s="13">
        <v>2</v>
      </c>
      <c r="G31" s="52">
        <f t="shared" ref="G31:G40" si="25">SUM(E31*E31*D31*F31*330/800000)</f>
        <v>3.3</v>
      </c>
      <c r="H31" s="13">
        <v>11.2</v>
      </c>
      <c r="I31" s="13">
        <v>4050</v>
      </c>
      <c r="J31" s="53">
        <f t="shared" si="22"/>
        <v>13365</v>
      </c>
      <c r="K31" s="54">
        <f t="shared" si="23"/>
        <v>3360</v>
      </c>
      <c r="L31" s="44">
        <f t="shared" ref="L31:L40" si="26">SUM(G31*100)</f>
        <v>330</v>
      </c>
      <c r="M31" s="44">
        <f t="shared" ref="M31:M40" si="27">SUM(J31+L31)</f>
        <v>13695</v>
      </c>
      <c r="N31" s="53">
        <f t="shared" ref="N31:N40" si="28">SUM(M31+K31)</f>
        <v>17055</v>
      </c>
      <c r="O31" s="53">
        <f t="shared" ref="O31:O40" si="29">N31+(N31*4.1%)</f>
        <v>17754.255000000001</v>
      </c>
      <c r="P31" s="53">
        <f t="shared" ref="P31:P40" si="30">SUM(O31/300)</f>
        <v>59.180850000000007</v>
      </c>
      <c r="Q31" s="44">
        <f t="shared" ref="Q31:Q40" si="31">O31+(O31*5%)</f>
        <v>18641.96775</v>
      </c>
      <c r="R31" s="55">
        <f t="shared" ref="R31:R40" si="32">SUM(Q31/300)</f>
        <v>62.139892500000002</v>
      </c>
    </row>
    <row r="32" spans="1:18" ht="15.75" x14ac:dyDescent="0.3">
      <c r="A32" s="51">
        <v>3</v>
      </c>
      <c r="B32" s="13">
        <v>4</v>
      </c>
      <c r="C32" s="44">
        <f t="shared" si="24"/>
        <v>3.0419999999999998</v>
      </c>
      <c r="D32" s="13">
        <v>60</v>
      </c>
      <c r="E32" s="13">
        <v>10</v>
      </c>
      <c r="F32" s="13">
        <v>2</v>
      </c>
      <c r="G32" s="52">
        <f t="shared" si="25"/>
        <v>4.95</v>
      </c>
      <c r="H32" s="13">
        <v>15</v>
      </c>
      <c r="I32" s="13">
        <v>4050</v>
      </c>
      <c r="J32" s="53">
        <f t="shared" si="22"/>
        <v>20047.5</v>
      </c>
      <c r="K32" s="54">
        <f t="shared" si="23"/>
        <v>4500</v>
      </c>
      <c r="L32" s="44">
        <f t="shared" si="26"/>
        <v>495</v>
      </c>
      <c r="M32" s="44">
        <f t="shared" si="27"/>
        <v>20542.5</v>
      </c>
      <c r="N32" s="53">
        <f t="shared" si="28"/>
        <v>25042.5</v>
      </c>
      <c r="O32" s="53">
        <f t="shared" si="29"/>
        <v>26069.2425</v>
      </c>
      <c r="P32" s="53">
        <f t="shared" si="30"/>
        <v>86.897475</v>
      </c>
      <c r="Q32" s="44">
        <f t="shared" si="31"/>
        <v>27372.704624999998</v>
      </c>
      <c r="R32" s="55">
        <f t="shared" si="32"/>
        <v>91.242348749999991</v>
      </c>
    </row>
    <row r="33" spans="1:18" ht="15.75" x14ac:dyDescent="0.3">
      <c r="A33" s="51">
        <v>4</v>
      </c>
      <c r="B33" s="13">
        <v>6</v>
      </c>
      <c r="C33" s="44">
        <f t="shared" si="24"/>
        <v>5.07</v>
      </c>
      <c r="D33" s="13">
        <v>100</v>
      </c>
      <c r="E33" s="13">
        <v>10</v>
      </c>
      <c r="F33" s="13">
        <v>2</v>
      </c>
      <c r="G33" s="52">
        <f t="shared" si="25"/>
        <v>8.25</v>
      </c>
      <c r="H33" s="13">
        <v>17</v>
      </c>
      <c r="I33" s="13">
        <v>4050</v>
      </c>
      <c r="J33" s="53">
        <f t="shared" si="22"/>
        <v>33412.5</v>
      </c>
      <c r="K33" s="54">
        <f t="shared" si="23"/>
        <v>5100</v>
      </c>
      <c r="L33" s="44">
        <f t="shared" si="26"/>
        <v>825</v>
      </c>
      <c r="M33" s="44">
        <f t="shared" si="27"/>
        <v>34237.5</v>
      </c>
      <c r="N33" s="53">
        <f t="shared" si="28"/>
        <v>39337.5</v>
      </c>
      <c r="O33" s="53">
        <f t="shared" si="29"/>
        <v>40950.337500000001</v>
      </c>
      <c r="P33" s="53">
        <f t="shared" si="30"/>
        <v>136.501125</v>
      </c>
      <c r="Q33" s="44">
        <f t="shared" si="31"/>
        <v>42997.854375000003</v>
      </c>
      <c r="R33" s="55">
        <f t="shared" si="32"/>
        <v>143.32618125000002</v>
      </c>
    </row>
    <row r="34" spans="1:18" ht="15.75" x14ac:dyDescent="0.3">
      <c r="A34" s="51">
        <v>5</v>
      </c>
      <c r="B34" s="55">
        <v>10</v>
      </c>
      <c r="C34" s="44">
        <f t="shared" si="24"/>
        <v>9.1259999999999994</v>
      </c>
      <c r="D34" s="55">
        <v>180</v>
      </c>
      <c r="E34" s="55">
        <v>10</v>
      </c>
      <c r="F34" s="13">
        <v>2</v>
      </c>
      <c r="G34" s="52">
        <f t="shared" si="25"/>
        <v>14.85</v>
      </c>
      <c r="H34" s="55">
        <v>21.7</v>
      </c>
      <c r="I34" s="13">
        <v>4050</v>
      </c>
      <c r="J34" s="53">
        <f t="shared" si="22"/>
        <v>60142.5</v>
      </c>
      <c r="K34" s="54">
        <f t="shared" si="23"/>
        <v>6510</v>
      </c>
      <c r="L34" s="44">
        <f t="shared" si="26"/>
        <v>1485</v>
      </c>
      <c r="M34" s="44">
        <f t="shared" si="27"/>
        <v>61627.5</v>
      </c>
      <c r="N34" s="53">
        <f t="shared" si="28"/>
        <v>68137.5</v>
      </c>
      <c r="O34" s="53">
        <f t="shared" si="29"/>
        <v>70931.137499999997</v>
      </c>
      <c r="P34" s="53">
        <f t="shared" si="30"/>
        <v>236.43712499999998</v>
      </c>
      <c r="Q34" s="44">
        <f t="shared" si="31"/>
        <v>74477.694374999992</v>
      </c>
      <c r="R34" s="55">
        <f t="shared" si="32"/>
        <v>248.25898124999998</v>
      </c>
    </row>
    <row r="35" spans="1:18" ht="15.75" x14ac:dyDescent="0.3">
      <c r="A35" s="51">
        <v>6</v>
      </c>
      <c r="B35" s="55">
        <v>16</v>
      </c>
      <c r="C35" s="44">
        <f t="shared" si="24"/>
        <v>14.196</v>
      </c>
      <c r="D35" s="55">
        <v>280</v>
      </c>
      <c r="E35" s="55">
        <v>10</v>
      </c>
      <c r="F35" s="13">
        <v>2</v>
      </c>
      <c r="G35" s="52">
        <f t="shared" si="25"/>
        <v>23.1</v>
      </c>
      <c r="H35" s="55"/>
      <c r="I35" s="13">
        <v>4050</v>
      </c>
      <c r="J35" s="53">
        <f t="shared" si="22"/>
        <v>93555</v>
      </c>
      <c r="K35" s="54">
        <f t="shared" si="23"/>
        <v>0</v>
      </c>
      <c r="L35" s="44">
        <f t="shared" si="26"/>
        <v>2310</v>
      </c>
      <c r="M35" s="44">
        <f t="shared" si="27"/>
        <v>95865</v>
      </c>
      <c r="N35" s="53">
        <f t="shared" si="28"/>
        <v>95865</v>
      </c>
      <c r="O35" s="53">
        <f t="shared" si="29"/>
        <v>99795.464999999997</v>
      </c>
      <c r="P35" s="53">
        <f t="shared" si="30"/>
        <v>332.65154999999999</v>
      </c>
      <c r="Q35" s="44">
        <f t="shared" si="31"/>
        <v>104785.23824999999</v>
      </c>
      <c r="R35" s="55">
        <f t="shared" si="32"/>
        <v>349.28412750000001</v>
      </c>
    </row>
    <row r="36" spans="1:18" ht="15.75" x14ac:dyDescent="0.3">
      <c r="A36" s="51">
        <v>7</v>
      </c>
      <c r="B36" s="55">
        <v>25</v>
      </c>
      <c r="C36" s="44">
        <f t="shared" si="24"/>
        <v>19.874400000000001</v>
      </c>
      <c r="D36" s="55">
        <v>200</v>
      </c>
      <c r="E36" s="55">
        <v>14</v>
      </c>
      <c r="F36" s="13">
        <v>2</v>
      </c>
      <c r="G36" s="52">
        <f t="shared" si="25"/>
        <v>32.340000000000003</v>
      </c>
      <c r="H36" s="55"/>
      <c r="I36" s="13">
        <v>4050</v>
      </c>
      <c r="J36" s="53">
        <f t="shared" si="22"/>
        <v>130977.00000000001</v>
      </c>
      <c r="K36" s="54">
        <f t="shared" si="23"/>
        <v>0</v>
      </c>
      <c r="L36" s="44">
        <f t="shared" si="26"/>
        <v>3234.0000000000005</v>
      </c>
      <c r="M36" s="44">
        <f t="shared" si="27"/>
        <v>134211.00000000003</v>
      </c>
      <c r="N36" s="53">
        <f t="shared" si="28"/>
        <v>134211.00000000003</v>
      </c>
      <c r="O36" s="53">
        <f t="shared" si="29"/>
        <v>139713.65100000004</v>
      </c>
      <c r="P36" s="53">
        <f t="shared" si="30"/>
        <v>465.71217000000013</v>
      </c>
      <c r="Q36" s="44">
        <f t="shared" si="31"/>
        <v>146699.33355000004</v>
      </c>
      <c r="R36" s="55">
        <f t="shared" si="32"/>
        <v>488.99777850000015</v>
      </c>
    </row>
    <row r="37" spans="1:18" ht="15.75" x14ac:dyDescent="0.3">
      <c r="A37" s="51">
        <v>8</v>
      </c>
      <c r="B37" s="55">
        <v>35</v>
      </c>
      <c r="C37" s="44">
        <f t="shared" si="24"/>
        <v>29.811599999999999</v>
      </c>
      <c r="D37" s="55">
        <v>300</v>
      </c>
      <c r="E37" s="55">
        <v>14</v>
      </c>
      <c r="F37" s="13">
        <v>2</v>
      </c>
      <c r="G37" s="52">
        <f t="shared" si="25"/>
        <v>48.51</v>
      </c>
      <c r="H37" s="55"/>
      <c r="I37" s="13">
        <v>4050</v>
      </c>
      <c r="J37" s="53">
        <f t="shared" si="22"/>
        <v>196465.5</v>
      </c>
      <c r="K37" s="54">
        <f t="shared" si="23"/>
        <v>0</v>
      </c>
      <c r="L37" s="44">
        <f t="shared" si="26"/>
        <v>4851</v>
      </c>
      <c r="M37" s="44">
        <f t="shared" si="27"/>
        <v>201316.5</v>
      </c>
      <c r="N37" s="53">
        <f t="shared" si="28"/>
        <v>201316.5</v>
      </c>
      <c r="O37" s="53">
        <f t="shared" si="29"/>
        <v>209570.47649999999</v>
      </c>
      <c r="P37" s="53">
        <f t="shared" si="30"/>
        <v>698.56825500000002</v>
      </c>
      <c r="Q37" s="44">
        <f t="shared" si="31"/>
        <v>220049.000325</v>
      </c>
      <c r="R37" s="55">
        <f t="shared" si="32"/>
        <v>733.49666775000003</v>
      </c>
    </row>
    <row r="38" spans="1:18" ht="15.75" x14ac:dyDescent="0.3">
      <c r="A38" s="51">
        <v>9</v>
      </c>
      <c r="B38" s="55">
        <v>50</v>
      </c>
      <c r="C38" s="44">
        <f t="shared" si="24"/>
        <v>39.748800000000003</v>
      </c>
      <c r="D38" s="55">
        <v>400</v>
      </c>
      <c r="E38" s="55">
        <v>14</v>
      </c>
      <c r="F38" s="13">
        <v>2</v>
      </c>
      <c r="G38" s="52">
        <f t="shared" si="25"/>
        <v>64.680000000000007</v>
      </c>
      <c r="H38" s="55"/>
      <c r="I38" s="13">
        <v>4050</v>
      </c>
      <c r="J38" s="53">
        <f t="shared" si="22"/>
        <v>261954.00000000003</v>
      </c>
      <c r="K38" s="54">
        <f t="shared" si="23"/>
        <v>0</v>
      </c>
      <c r="L38" s="44">
        <f t="shared" si="26"/>
        <v>6468.0000000000009</v>
      </c>
      <c r="M38" s="44">
        <f t="shared" si="27"/>
        <v>268422.00000000006</v>
      </c>
      <c r="N38" s="53">
        <f t="shared" si="28"/>
        <v>268422.00000000006</v>
      </c>
      <c r="O38" s="53">
        <f t="shared" si="29"/>
        <v>279427.30200000008</v>
      </c>
      <c r="P38" s="53">
        <f t="shared" si="30"/>
        <v>931.42434000000026</v>
      </c>
      <c r="Q38" s="44">
        <f t="shared" si="31"/>
        <v>293398.66710000008</v>
      </c>
      <c r="R38" s="55">
        <f t="shared" si="32"/>
        <v>977.9955570000003</v>
      </c>
    </row>
    <row r="39" spans="1:18" ht="15.75" x14ac:dyDescent="0.3">
      <c r="A39" s="51">
        <v>10</v>
      </c>
      <c r="B39" s="55">
        <v>70</v>
      </c>
      <c r="C39" s="44">
        <f t="shared" si="24"/>
        <v>59.623199999999997</v>
      </c>
      <c r="D39" s="55">
        <v>600</v>
      </c>
      <c r="E39" s="55">
        <v>14</v>
      </c>
      <c r="F39" s="13">
        <v>2</v>
      </c>
      <c r="G39" s="52">
        <f t="shared" si="25"/>
        <v>97.02</v>
      </c>
      <c r="H39" s="55"/>
      <c r="I39" s="13">
        <v>4050</v>
      </c>
      <c r="J39" s="53">
        <f t="shared" si="22"/>
        <v>392931</v>
      </c>
      <c r="K39" s="54">
        <f t="shared" si="23"/>
        <v>0</v>
      </c>
      <c r="L39" s="44">
        <f t="shared" si="26"/>
        <v>9702</v>
      </c>
      <c r="M39" s="44">
        <f t="shared" si="27"/>
        <v>402633</v>
      </c>
      <c r="N39" s="53">
        <f t="shared" si="28"/>
        <v>402633</v>
      </c>
      <c r="O39" s="53">
        <f t="shared" si="29"/>
        <v>419140.95299999998</v>
      </c>
      <c r="P39" s="53">
        <f t="shared" si="30"/>
        <v>1397.13651</v>
      </c>
      <c r="Q39" s="44">
        <f t="shared" si="31"/>
        <v>440098.00065</v>
      </c>
      <c r="R39" s="55">
        <f t="shared" si="32"/>
        <v>1466.9933355000001</v>
      </c>
    </row>
    <row r="40" spans="1:18" ht="15.75" x14ac:dyDescent="0.3">
      <c r="A40" s="51">
        <v>11</v>
      </c>
      <c r="B40" s="55">
        <v>95</v>
      </c>
      <c r="C40" s="44">
        <f t="shared" si="24"/>
        <v>79.497600000000006</v>
      </c>
      <c r="D40" s="55">
        <v>800</v>
      </c>
      <c r="E40" s="55">
        <v>14</v>
      </c>
      <c r="F40" s="13">
        <v>2</v>
      </c>
      <c r="G40" s="52">
        <f t="shared" si="25"/>
        <v>129.36000000000001</v>
      </c>
      <c r="H40" s="55"/>
      <c r="I40" s="13">
        <v>4050</v>
      </c>
      <c r="J40" s="53">
        <f t="shared" si="22"/>
        <v>523908.00000000006</v>
      </c>
      <c r="K40" s="54">
        <f t="shared" si="23"/>
        <v>0</v>
      </c>
      <c r="L40" s="44">
        <f t="shared" si="26"/>
        <v>12936.000000000002</v>
      </c>
      <c r="M40" s="44">
        <f t="shared" si="27"/>
        <v>536844.00000000012</v>
      </c>
      <c r="N40" s="53">
        <f t="shared" si="28"/>
        <v>536844.00000000012</v>
      </c>
      <c r="O40" s="53">
        <f t="shared" si="29"/>
        <v>558854.60400000017</v>
      </c>
      <c r="P40" s="53">
        <f t="shared" si="30"/>
        <v>1862.8486800000005</v>
      </c>
      <c r="Q40" s="44">
        <f t="shared" si="31"/>
        <v>586797.33420000016</v>
      </c>
      <c r="R40" s="55">
        <f t="shared" si="32"/>
        <v>1955.9911140000006</v>
      </c>
    </row>
    <row r="41" spans="1:18" ht="31.5" x14ac:dyDescent="0.5">
      <c r="A41" s="66" t="s">
        <v>30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</row>
    <row r="42" spans="1:18" s="60" customFormat="1" ht="40.5" x14ac:dyDescent="0.3">
      <c r="A42" s="47" t="s">
        <v>25</v>
      </c>
      <c r="B42" s="48" t="s">
        <v>1</v>
      </c>
      <c r="C42" s="48" t="s">
        <v>26</v>
      </c>
      <c r="D42" s="48" t="s">
        <v>7</v>
      </c>
      <c r="E42" s="48" t="s">
        <v>2</v>
      </c>
      <c r="F42" s="48" t="s">
        <v>8</v>
      </c>
      <c r="G42" s="49" t="s">
        <v>36</v>
      </c>
      <c r="H42" s="48" t="s">
        <v>10</v>
      </c>
      <c r="I42" s="48" t="s">
        <v>9</v>
      </c>
      <c r="J42" s="48" t="s">
        <v>12</v>
      </c>
      <c r="K42" s="48" t="s">
        <v>35</v>
      </c>
      <c r="L42" s="46" t="s">
        <v>14</v>
      </c>
      <c r="M42" s="46" t="s">
        <v>37</v>
      </c>
      <c r="N42" s="48" t="s">
        <v>16</v>
      </c>
      <c r="O42" s="48" t="s">
        <v>4</v>
      </c>
      <c r="P42" s="48" t="s">
        <v>17</v>
      </c>
      <c r="Q42" s="48" t="s">
        <v>5</v>
      </c>
      <c r="R42" s="48" t="s">
        <v>18</v>
      </c>
    </row>
    <row r="43" spans="1:18" x14ac:dyDescent="0.25">
      <c r="A43" s="51">
        <v>1</v>
      </c>
      <c r="B43" s="13">
        <v>1.5</v>
      </c>
      <c r="C43" s="45">
        <f>SUM(E43*E43*D43*507/1000000)</f>
        <v>0.95062500000000005</v>
      </c>
      <c r="D43" s="55">
        <v>3</v>
      </c>
      <c r="E43" s="55">
        <v>25</v>
      </c>
      <c r="F43" s="55">
        <v>2</v>
      </c>
      <c r="G43" s="45">
        <f>SUM(E43*E43*D43*F43*330/800000)</f>
        <v>1.546875</v>
      </c>
      <c r="H43" s="56">
        <v>8.6</v>
      </c>
      <c r="I43" s="57">
        <v>4050</v>
      </c>
      <c r="J43" s="45">
        <f t="shared" ref="J43:J53" si="33">SUM(G43*I43)</f>
        <v>6264.84375</v>
      </c>
      <c r="K43" s="58">
        <f t="shared" ref="K43:K53" si="34">SUM(H43*300)</f>
        <v>2580</v>
      </c>
      <c r="L43" s="45">
        <f>SUM(G43*50)</f>
        <v>77.34375</v>
      </c>
      <c r="M43" s="45">
        <f>SUM(J43+L43)</f>
        <v>6342.1875</v>
      </c>
      <c r="N43" s="45">
        <f>SUM(M43+K43)</f>
        <v>8922.1875</v>
      </c>
      <c r="O43" s="45">
        <f>N43+(N43*4.1%)</f>
        <v>9287.9971874999992</v>
      </c>
      <c r="P43" s="45">
        <f>SUM(O43/300)</f>
        <v>30.959990624999996</v>
      </c>
      <c r="Q43" s="45">
        <f>O43+(O43*5%)</f>
        <v>9752.3970468749994</v>
      </c>
      <c r="R43" s="55">
        <f>SUM(Q43/300)</f>
        <v>32.507990156249996</v>
      </c>
    </row>
    <row r="44" spans="1:18" x14ac:dyDescent="0.25">
      <c r="A44" s="51">
        <v>2</v>
      </c>
      <c r="B44" s="13">
        <v>2.5</v>
      </c>
      <c r="C44" s="45">
        <f t="shared" ref="C44:C53" si="35">SUM(E44*E44*D44*507/1000000)</f>
        <v>2.2181250000000001</v>
      </c>
      <c r="D44" s="55">
        <v>7</v>
      </c>
      <c r="E44" s="55">
        <v>25</v>
      </c>
      <c r="F44" s="55">
        <v>2</v>
      </c>
      <c r="G44" s="45">
        <f t="shared" ref="G44:G53" si="36">SUM(E44*E44*D44*F44*330/800000)</f>
        <v>3.609375</v>
      </c>
      <c r="H44" s="56">
        <v>11.2</v>
      </c>
      <c r="I44" s="57">
        <v>4050</v>
      </c>
      <c r="J44" s="45">
        <f t="shared" si="33"/>
        <v>14617.96875</v>
      </c>
      <c r="K44" s="58">
        <f t="shared" si="34"/>
        <v>3360</v>
      </c>
      <c r="L44" s="45">
        <f t="shared" ref="L44:L53" si="37">SUM(G44*50)</f>
        <v>180.46875</v>
      </c>
      <c r="M44" s="45">
        <f t="shared" ref="M44:M53" si="38">SUM(J44+L44)</f>
        <v>14798.4375</v>
      </c>
      <c r="N44" s="45">
        <f t="shared" ref="N44:N53" si="39">SUM(M44+K44)</f>
        <v>18158.4375</v>
      </c>
      <c r="O44" s="45">
        <f t="shared" ref="O44:O53" si="40">N44+(N44*4.1%)</f>
        <v>18902.9334375</v>
      </c>
      <c r="P44" s="45">
        <f t="shared" ref="P44:P53" si="41">SUM(O44/300)</f>
        <v>63.009778124999997</v>
      </c>
      <c r="Q44" s="45">
        <f t="shared" ref="Q44:Q53" si="42">O44+(O44*5%)</f>
        <v>19848.080109375001</v>
      </c>
      <c r="R44" s="55">
        <f t="shared" ref="R44:R53" si="43">SUM(Q44/300)</f>
        <v>66.160267031250001</v>
      </c>
    </row>
    <row r="45" spans="1:18" x14ac:dyDescent="0.25">
      <c r="A45" s="51">
        <v>3</v>
      </c>
      <c r="B45" s="13">
        <v>4</v>
      </c>
      <c r="C45" s="45">
        <f t="shared" si="35"/>
        <v>3.1941000000000002</v>
      </c>
      <c r="D45" s="55">
        <v>7</v>
      </c>
      <c r="E45" s="55">
        <v>30</v>
      </c>
      <c r="F45" s="55">
        <v>2</v>
      </c>
      <c r="G45" s="45">
        <f t="shared" si="36"/>
        <v>5.1974999999999998</v>
      </c>
      <c r="H45" s="56">
        <v>15</v>
      </c>
      <c r="I45" s="57">
        <v>4050</v>
      </c>
      <c r="J45" s="45">
        <f t="shared" si="33"/>
        <v>21049.875</v>
      </c>
      <c r="K45" s="58">
        <f t="shared" si="34"/>
        <v>4500</v>
      </c>
      <c r="L45" s="45">
        <f t="shared" si="37"/>
        <v>259.875</v>
      </c>
      <c r="M45" s="45">
        <f t="shared" si="38"/>
        <v>21309.75</v>
      </c>
      <c r="N45" s="45">
        <f t="shared" si="39"/>
        <v>25809.75</v>
      </c>
      <c r="O45" s="45">
        <f t="shared" si="40"/>
        <v>26867.94975</v>
      </c>
      <c r="P45" s="45">
        <f t="shared" si="41"/>
        <v>89.559832499999999</v>
      </c>
      <c r="Q45" s="45">
        <f t="shared" si="42"/>
        <v>28211.347237499998</v>
      </c>
      <c r="R45" s="55">
        <f t="shared" si="43"/>
        <v>94.037824125</v>
      </c>
    </row>
    <row r="46" spans="1:18" x14ac:dyDescent="0.25">
      <c r="A46" s="51">
        <v>4</v>
      </c>
      <c r="B46" s="13">
        <v>6</v>
      </c>
      <c r="C46" s="45">
        <f t="shared" si="35"/>
        <v>5.1247559999999996</v>
      </c>
      <c r="D46" s="55">
        <v>7</v>
      </c>
      <c r="E46" s="55">
        <v>38</v>
      </c>
      <c r="F46" s="55">
        <v>2</v>
      </c>
      <c r="G46" s="45">
        <f t="shared" si="36"/>
        <v>8.3391000000000002</v>
      </c>
      <c r="H46" s="56">
        <v>17</v>
      </c>
      <c r="I46" s="57">
        <v>4050</v>
      </c>
      <c r="J46" s="45">
        <f t="shared" si="33"/>
        <v>33773.355000000003</v>
      </c>
      <c r="K46" s="58">
        <f t="shared" si="34"/>
        <v>5100</v>
      </c>
      <c r="L46" s="45">
        <f t="shared" si="37"/>
        <v>416.95499999999998</v>
      </c>
      <c r="M46" s="45">
        <f t="shared" si="38"/>
        <v>34190.310000000005</v>
      </c>
      <c r="N46" s="45">
        <f t="shared" si="39"/>
        <v>39290.310000000005</v>
      </c>
      <c r="O46" s="45">
        <f t="shared" si="40"/>
        <v>40901.212710000007</v>
      </c>
      <c r="P46" s="45">
        <f t="shared" si="41"/>
        <v>136.33737570000002</v>
      </c>
      <c r="Q46" s="45">
        <f t="shared" si="42"/>
        <v>42946.273345500005</v>
      </c>
      <c r="R46" s="55">
        <f t="shared" si="43"/>
        <v>143.15424448500002</v>
      </c>
    </row>
    <row r="47" spans="1:18" x14ac:dyDescent="0.25">
      <c r="A47" s="51">
        <v>5</v>
      </c>
      <c r="B47" s="55">
        <v>10</v>
      </c>
      <c r="C47" s="45">
        <f t="shared" si="35"/>
        <v>7.509684</v>
      </c>
      <c r="D47" s="55">
        <v>7</v>
      </c>
      <c r="E47" s="55">
        <v>46</v>
      </c>
      <c r="F47" s="55">
        <v>2</v>
      </c>
      <c r="G47" s="45">
        <f t="shared" si="36"/>
        <v>12.219900000000001</v>
      </c>
      <c r="H47" s="55">
        <v>21.7</v>
      </c>
      <c r="I47" s="57">
        <v>4050</v>
      </c>
      <c r="J47" s="45">
        <f t="shared" si="33"/>
        <v>49490.595000000001</v>
      </c>
      <c r="K47" s="58">
        <f t="shared" si="34"/>
        <v>6510</v>
      </c>
      <c r="L47" s="45">
        <f t="shared" si="37"/>
        <v>610.995</v>
      </c>
      <c r="M47" s="45">
        <f t="shared" si="38"/>
        <v>50101.590000000004</v>
      </c>
      <c r="N47" s="45">
        <f t="shared" si="39"/>
        <v>56611.590000000004</v>
      </c>
      <c r="O47" s="45">
        <f t="shared" si="40"/>
        <v>58932.665190000007</v>
      </c>
      <c r="P47" s="45">
        <f t="shared" si="41"/>
        <v>196.44221730000001</v>
      </c>
      <c r="Q47" s="45">
        <f t="shared" si="42"/>
        <v>61879.298449500006</v>
      </c>
      <c r="R47" s="55">
        <f t="shared" si="43"/>
        <v>206.26432816500002</v>
      </c>
    </row>
    <row r="48" spans="1:18" x14ac:dyDescent="0.25">
      <c r="A48" s="51">
        <v>6</v>
      </c>
      <c r="B48" s="55">
        <v>16</v>
      </c>
      <c r="C48" s="45">
        <f t="shared" si="35"/>
        <v>12.776400000000001</v>
      </c>
      <c r="D48" s="55">
        <v>7</v>
      </c>
      <c r="E48" s="55">
        <v>60</v>
      </c>
      <c r="F48" s="55">
        <v>2</v>
      </c>
      <c r="G48" s="45">
        <f t="shared" si="36"/>
        <v>20.79</v>
      </c>
      <c r="H48" s="55"/>
      <c r="I48" s="57">
        <v>4050</v>
      </c>
      <c r="J48" s="45">
        <f t="shared" si="33"/>
        <v>84199.5</v>
      </c>
      <c r="K48" s="58">
        <f t="shared" si="34"/>
        <v>0</v>
      </c>
      <c r="L48" s="45">
        <f t="shared" si="37"/>
        <v>1039.5</v>
      </c>
      <c r="M48" s="45">
        <f t="shared" si="38"/>
        <v>85239</v>
      </c>
      <c r="N48" s="45">
        <f t="shared" si="39"/>
        <v>85239</v>
      </c>
      <c r="O48" s="45">
        <f t="shared" si="40"/>
        <v>88733.798999999999</v>
      </c>
      <c r="P48" s="45">
        <f t="shared" si="41"/>
        <v>295.77933000000002</v>
      </c>
      <c r="Q48" s="45">
        <f t="shared" si="42"/>
        <v>93170.488949999999</v>
      </c>
      <c r="R48" s="55">
        <f t="shared" si="43"/>
        <v>310.56829649999997</v>
      </c>
    </row>
    <row r="49" spans="1:18" x14ac:dyDescent="0.25">
      <c r="A49" s="51">
        <v>7</v>
      </c>
      <c r="B49" s="55">
        <v>25</v>
      </c>
      <c r="C49" s="45">
        <f t="shared" si="35"/>
        <v>24.0825</v>
      </c>
      <c r="D49" s="55">
        <v>19</v>
      </c>
      <c r="E49" s="55">
        <v>50</v>
      </c>
      <c r="F49" s="55">
        <v>2</v>
      </c>
      <c r="G49" s="45">
        <f t="shared" si="36"/>
        <v>39.1875</v>
      </c>
      <c r="H49" s="55"/>
      <c r="I49" s="57">
        <v>4050</v>
      </c>
      <c r="J49" s="45">
        <f t="shared" si="33"/>
        <v>158709.375</v>
      </c>
      <c r="K49" s="58">
        <f t="shared" si="34"/>
        <v>0</v>
      </c>
      <c r="L49" s="45">
        <f t="shared" si="37"/>
        <v>1959.375</v>
      </c>
      <c r="M49" s="45">
        <f t="shared" si="38"/>
        <v>160668.75</v>
      </c>
      <c r="N49" s="45">
        <f t="shared" si="39"/>
        <v>160668.75</v>
      </c>
      <c r="O49" s="45">
        <f t="shared" si="40"/>
        <v>167256.16875000001</v>
      </c>
      <c r="P49" s="45">
        <f t="shared" si="41"/>
        <v>557.52056249999998</v>
      </c>
      <c r="Q49" s="45">
        <f t="shared" si="42"/>
        <v>175618.97718750002</v>
      </c>
      <c r="R49" s="55">
        <f t="shared" si="43"/>
        <v>585.39659062500004</v>
      </c>
    </row>
    <row r="50" spans="1:18" x14ac:dyDescent="0.25">
      <c r="A50" s="51">
        <v>8</v>
      </c>
      <c r="B50" s="55">
        <v>35</v>
      </c>
      <c r="C50" s="45">
        <f t="shared" si="35"/>
        <v>32.405411999999998</v>
      </c>
      <c r="D50" s="55">
        <v>19</v>
      </c>
      <c r="E50" s="55">
        <v>58</v>
      </c>
      <c r="F50" s="55">
        <v>2</v>
      </c>
      <c r="G50" s="45">
        <f t="shared" si="36"/>
        <v>52.730699999999999</v>
      </c>
      <c r="H50" s="55"/>
      <c r="I50" s="57">
        <v>4050</v>
      </c>
      <c r="J50" s="45">
        <f t="shared" si="33"/>
        <v>213559.33499999999</v>
      </c>
      <c r="K50" s="58">
        <f t="shared" si="34"/>
        <v>0</v>
      </c>
      <c r="L50" s="45">
        <f t="shared" si="37"/>
        <v>2636.5349999999999</v>
      </c>
      <c r="M50" s="45">
        <f t="shared" si="38"/>
        <v>216195.87</v>
      </c>
      <c r="N50" s="45">
        <f t="shared" si="39"/>
        <v>216195.87</v>
      </c>
      <c r="O50" s="45">
        <f t="shared" si="40"/>
        <v>225059.90067</v>
      </c>
      <c r="P50" s="45">
        <f t="shared" si="41"/>
        <v>750.19966890000001</v>
      </c>
      <c r="Q50" s="45">
        <f t="shared" si="42"/>
        <v>236312.89570349999</v>
      </c>
      <c r="R50" s="55">
        <f t="shared" si="43"/>
        <v>787.70965234499999</v>
      </c>
    </row>
    <row r="51" spans="1:18" x14ac:dyDescent="0.25">
      <c r="A51" s="51">
        <v>9</v>
      </c>
      <c r="B51" s="55">
        <v>50</v>
      </c>
      <c r="C51" s="45">
        <f t="shared" si="35"/>
        <v>44.542991999999998</v>
      </c>
      <c r="D51" s="55">
        <v>19</v>
      </c>
      <c r="E51" s="55">
        <v>68</v>
      </c>
      <c r="F51" s="55">
        <v>2</v>
      </c>
      <c r="G51" s="45">
        <f t="shared" si="36"/>
        <v>72.481200000000001</v>
      </c>
      <c r="H51" s="55"/>
      <c r="I51" s="57">
        <v>4050</v>
      </c>
      <c r="J51" s="45">
        <f t="shared" si="33"/>
        <v>293548.86</v>
      </c>
      <c r="K51" s="58">
        <f t="shared" si="34"/>
        <v>0</v>
      </c>
      <c r="L51" s="45">
        <f t="shared" si="37"/>
        <v>3624.06</v>
      </c>
      <c r="M51" s="45">
        <f t="shared" si="38"/>
        <v>297172.92</v>
      </c>
      <c r="N51" s="45">
        <f t="shared" si="39"/>
        <v>297172.92</v>
      </c>
      <c r="O51" s="45">
        <f t="shared" si="40"/>
        <v>309357.00971999997</v>
      </c>
      <c r="P51" s="45">
        <f t="shared" si="41"/>
        <v>1031.1900323999998</v>
      </c>
      <c r="Q51" s="45">
        <f t="shared" si="42"/>
        <v>324824.86020599998</v>
      </c>
      <c r="R51" s="55">
        <f t="shared" si="43"/>
        <v>1082.7495340200001</v>
      </c>
    </row>
    <row r="52" spans="1:18" x14ac:dyDescent="0.25">
      <c r="A52" s="51">
        <v>10</v>
      </c>
      <c r="B52" s="55">
        <v>70</v>
      </c>
      <c r="C52" s="45">
        <f t="shared" si="35"/>
        <v>58.406399999999998</v>
      </c>
      <c r="D52" s="55">
        <v>18</v>
      </c>
      <c r="E52" s="55">
        <v>80</v>
      </c>
      <c r="F52" s="55">
        <v>2</v>
      </c>
      <c r="G52" s="45">
        <f t="shared" si="36"/>
        <v>95.04</v>
      </c>
      <c r="H52" s="55"/>
      <c r="I52" s="57">
        <v>4050</v>
      </c>
      <c r="J52" s="45">
        <f t="shared" si="33"/>
        <v>384912</v>
      </c>
      <c r="K52" s="58">
        <f t="shared" si="34"/>
        <v>0</v>
      </c>
      <c r="L52" s="45">
        <f t="shared" si="37"/>
        <v>4752</v>
      </c>
      <c r="M52" s="45">
        <f t="shared" si="38"/>
        <v>389664</v>
      </c>
      <c r="N52" s="45">
        <f t="shared" si="39"/>
        <v>389664</v>
      </c>
      <c r="O52" s="45">
        <f t="shared" si="40"/>
        <v>405640.22399999999</v>
      </c>
      <c r="P52" s="45">
        <f t="shared" si="41"/>
        <v>1352.13408</v>
      </c>
      <c r="Q52" s="45">
        <f t="shared" si="42"/>
        <v>425922.2352</v>
      </c>
      <c r="R52" s="55">
        <f t="shared" si="43"/>
        <v>1419.7407840000001</v>
      </c>
    </row>
    <row r="53" spans="1:18" x14ac:dyDescent="0.25">
      <c r="A53" s="51">
        <v>11</v>
      </c>
      <c r="B53" s="55">
        <v>95</v>
      </c>
      <c r="C53" s="45">
        <f t="shared" si="35"/>
        <v>86.741615999999993</v>
      </c>
      <c r="D53" s="55">
        <v>37</v>
      </c>
      <c r="E53" s="55">
        <v>68</v>
      </c>
      <c r="F53" s="55">
        <v>2</v>
      </c>
      <c r="G53" s="45">
        <f t="shared" si="36"/>
        <v>141.14760000000001</v>
      </c>
      <c r="H53" s="55"/>
      <c r="I53" s="57">
        <v>4050</v>
      </c>
      <c r="J53" s="45">
        <f t="shared" si="33"/>
        <v>571647.78</v>
      </c>
      <c r="K53" s="58">
        <f t="shared" si="34"/>
        <v>0</v>
      </c>
      <c r="L53" s="45">
        <f t="shared" si="37"/>
        <v>7057.380000000001</v>
      </c>
      <c r="M53" s="45">
        <f t="shared" si="38"/>
        <v>578705.16</v>
      </c>
      <c r="N53" s="45">
        <f t="shared" si="39"/>
        <v>578705.16</v>
      </c>
      <c r="O53" s="45">
        <f t="shared" si="40"/>
        <v>602432.07156000007</v>
      </c>
      <c r="P53" s="45">
        <f t="shared" si="41"/>
        <v>2008.1069052000003</v>
      </c>
      <c r="Q53" s="45">
        <f t="shared" si="42"/>
        <v>632553.67513800005</v>
      </c>
      <c r="R53" s="55">
        <f t="shared" si="43"/>
        <v>2108.5122504600004</v>
      </c>
    </row>
    <row r="54" spans="1:18" ht="31.5" x14ac:dyDescent="0.25">
      <c r="A54" s="67" t="s">
        <v>31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</row>
    <row r="55" spans="1:18" ht="40.5" x14ac:dyDescent="0.3">
      <c r="A55" s="47" t="s">
        <v>25</v>
      </c>
      <c r="B55" s="48" t="s">
        <v>1</v>
      </c>
      <c r="C55" s="48" t="s">
        <v>26</v>
      </c>
      <c r="D55" s="48" t="s">
        <v>7</v>
      </c>
      <c r="E55" s="48" t="s">
        <v>2</v>
      </c>
      <c r="F55" s="48" t="s">
        <v>8</v>
      </c>
      <c r="G55" s="49" t="s">
        <v>36</v>
      </c>
      <c r="H55" s="48" t="s">
        <v>10</v>
      </c>
      <c r="I55" s="48" t="s">
        <v>9</v>
      </c>
      <c r="J55" s="48" t="s">
        <v>12</v>
      </c>
      <c r="K55" s="48" t="s">
        <v>35</v>
      </c>
      <c r="L55" s="46" t="s">
        <v>14</v>
      </c>
      <c r="M55" s="46" t="s">
        <v>37</v>
      </c>
      <c r="N55" s="48" t="s">
        <v>16</v>
      </c>
      <c r="O55" s="48" t="s">
        <v>4</v>
      </c>
      <c r="P55" s="48" t="s">
        <v>17</v>
      </c>
      <c r="Q55" s="48" t="s">
        <v>5</v>
      </c>
      <c r="R55" s="48" t="s">
        <v>18</v>
      </c>
    </row>
    <row r="56" spans="1:18" ht="15.75" x14ac:dyDescent="0.3">
      <c r="A56" s="51">
        <v>1</v>
      </c>
      <c r="B56" s="13">
        <v>1.5</v>
      </c>
      <c r="C56" s="44">
        <f>SUM(E56*E56*D56*507/1000000)</f>
        <v>1.1660999999999999</v>
      </c>
      <c r="D56" s="13">
        <v>23</v>
      </c>
      <c r="E56" s="13">
        <v>10</v>
      </c>
      <c r="F56" s="13">
        <v>3</v>
      </c>
      <c r="G56" s="52">
        <f>SUM(E56*E56*D56*F56*330/800000)</f>
        <v>2.8462499999999999</v>
      </c>
      <c r="H56" s="13">
        <v>10.9</v>
      </c>
      <c r="I56" s="13">
        <v>4050</v>
      </c>
      <c r="J56" s="53">
        <f t="shared" ref="J56:J66" si="44">SUM(G56*I56)</f>
        <v>11527.3125</v>
      </c>
      <c r="K56" s="54">
        <f t="shared" ref="K56:K66" si="45">SUM(H56*300)</f>
        <v>3270</v>
      </c>
      <c r="L56" s="44">
        <f>SUM(G56*100)</f>
        <v>284.625</v>
      </c>
      <c r="M56" s="44">
        <f>SUM(J56+L56)</f>
        <v>11811.9375</v>
      </c>
      <c r="N56" s="53">
        <f>SUM(M56+K56)</f>
        <v>15081.9375</v>
      </c>
      <c r="O56" s="53">
        <f>N56+(N56*4.1%)</f>
        <v>15700.296937499999</v>
      </c>
      <c r="P56" s="53">
        <f>SUM(O56/300)</f>
        <v>52.334323124999997</v>
      </c>
      <c r="Q56" s="44">
        <f>O56+(O56*5%)</f>
        <v>16485.311784375001</v>
      </c>
      <c r="R56" s="55">
        <f>SUM(Q56/300)</f>
        <v>54.951039281250004</v>
      </c>
    </row>
    <row r="57" spans="1:18" ht="15.75" x14ac:dyDescent="0.3">
      <c r="A57" s="51">
        <v>2</v>
      </c>
      <c r="B57" s="13">
        <v>2.5</v>
      </c>
      <c r="C57" s="44">
        <f t="shared" ref="C57:C66" si="46">SUM(E57*E57*D57*507/1000000)</f>
        <v>2.028</v>
      </c>
      <c r="D57" s="13">
        <v>40</v>
      </c>
      <c r="E57" s="13">
        <v>10</v>
      </c>
      <c r="F57" s="13">
        <v>3</v>
      </c>
      <c r="G57" s="52">
        <f t="shared" ref="G57:G66" si="47">SUM(E57*E57*D57*F57*330/800000)</f>
        <v>4.95</v>
      </c>
      <c r="H57" s="13">
        <v>13.8</v>
      </c>
      <c r="I57" s="13">
        <v>4050</v>
      </c>
      <c r="J57" s="53">
        <f t="shared" si="44"/>
        <v>20047.5</v>
      </c>
      <c r="K57" s="54">
        <f t="shared" si="45"/>
        <v>4140</v>
      </c>
      <c r="L57" s="44">
        <f t="shared" ref="L57:L66" si="48">SUM(G57*100)</f>
        <v>495</v>
      </c>
      <c r="M57" s="44">
        <f t="shared" ref="M57:M66" si="49">SUM(J57+L57)</f>
        <v>20542.5</v>
      </c>
      <c r="N57" s="53">
        <f t="shared" ref="N57:N66" si="50">SUM(M57+K57)</f>
        <v>24682.5</v>
      </c>
      <c r="O57" s="53">
        <f t="shared" ref="O57:O66" si="51">N57+(N57*4.1%)</f>
        <v>25694.482499999998</v>
      </c>
      <c r="P57" s="53">
        <f t="shared" ref="P57:P66" si="52">SUM(O57/300)</f>
        <v>85.648274999999998</v>
      </c>
      <c r="Q57" s="44">
        <f t="shared" ref="Q57:Q66" si="53">O57+(O57*5%)</f>
        <v>26979.206624999999</v>
      </c>
      <c r="R57" s="55">
        <f t="shared" ref="R57:R66" si="54">SUM(Q57/300)</f>
        <v>89.930688750000002</v>
      </c>
    </row>
    <row r="58" spans="1:18" ht="15.75" x14ac:dyDescent="0.3">
      <c r="A58" s="51">
        <v>3</v>
      </c>
      <c r="B58" s="13">
        <v>4</v>
      </c>
      <c r="C58" s="44">
        <f t="shared" si="46"/>
        <v>3.0419999999999998</v>
      </c>
      <c r="D58" s="13">
        <v>60</v>
      </c>
      <c r="E58" s="13">
        <v>10</v>
      </c>
      <c r="F58" s="13">
        <v>3</v>
      </c>
      <c r="G58" s="52">
        <f t="shared" si="47"/>
        <v>7.4249999999999998</v>
      </c>
      <c r="H58" s="13">
        <v>18.5</v>
      </c>
      <c r="I58" s="13">
        <v>4050</v>
      </c>
      <c r="J58" s="53">
        <f t="shared" si="44"/>
        <v>30071.25</v>
      </c>
      <c r="K58" s="54">
        <f t="shared" si="45"/>
        <v>5550</v>
      </c>
      <c r="L58" s="44">
        <f t="shared" si="48"/>
        <v>742.5</v>
      </c>
      <c r="M58" s="44">
        <f t="shared" si="49"/>
        <v>30813.75</v>
      </c>
      <c r="N58" s="53">
        <f t="shared" si="50"/>
        <v>36363.75</v>
      </c>
      <c r="O58" s="53">
        <f t="shared" si="51"/>
        <v>37854.66375</v>
      </c>
      <c r="P58" s="53">
        <f t="shared" si="52"/>
        <v>126.18221250000001</v>
      </c>
      <c r="Q58" s="44">
        <f t="shared" si="53"/>
        <v>39747.396937500002</v>
      </c>
      <c r="R58" s="55">
        <f t="shared" si="54"/>
        <v>132.49132312500001</v>
      </c>
    </row>
    <row r="59" spans="1:18" ht="15.75" x14ac:dyDescent="0.3">
      <c r="A59" s="51">
        <v>4</v>
      </c>
      <c r="B59" s="13">
        <v>6</v>
      </c>
      <c r="C59" s="44">
        <f t="shared" si="46"/>
        <v>5.07</v>
      </c>
      <c r="D59" s="13">
        <v>100</v>
      </c>
      <c r="E59" s="13">
        <v>10</v>
      </c>
      <c r="F59" s="13">
        <v>3</v>
      </c>
      <c r="G59" s="52">
        <f t="shared" si="47"/>
        <v>12.375</v>
      </c>
      <c r="H59" s="13">
        <v>21</v>
      </c>
      <c r="I59" s="13">
        <v>4050</v>
      </c>
      <c r="J59" s="53">
        <f t="shared" si="44"/>
        <v>50118.75</v>
      </c>
      <c r="K59" s="54">
        <f t="shared" si="45"/>
        <v>6300</v>
      </c>
      <c r="L59" s="44">
        <f t="shared" si="48"/>
        <v>1237.5</v>
      </c>
      <c r="M59" s="44">
        <f t="shared" si="49"/>
        <v>51356.25</v>
      </c>
      <c r="N59" s="53">
        <f t="shared" si="50"/>
        <v>57656.25</v>
      </c>
      <c r="O59" s="53">
        <f t="shared" si="51"/>
        <v>60020.15625</v>
      </c>
      <c r="P59" s="53">
        <f t="shared" si="52"/>
        <v>200.06718749999999</v>
      </c>
      <c r="Q59" s="44">
        <f t="shared" si="53"/>
        <v>63021.1640625</v>
      </c>
      <c r="R59" s="55">
        <f t="shared" si="54"/>
        <v>210.07054687499999</v>
      </c>
    </row>
    <row r="60" spans="1:18" ht="15.75" x14ac:dyDescent="0.3">
      <c r="A60" s="51">
        <v>5</v>
      </c>
      <c r="B60" s="55">
        <v>10</v>
      </c>
      <c r="C60" s="44">
        <f t="shared" si="46"/>
        <v>9.1259999999999994</v>
      </c>
      <c r="D60" s="55">
        <v>180</v>
      </c>
      <c r="E60" s="55">
        <v>10</v>
      </c>
      <c r="F60" s="13">
        <v>3</v>
      </c>
      <c r="G60" s="52">
        <f t="shared" si="47"/>
        <v>22.274999999999999</v>
      </c>
      <c r="H60" s="55">
        <v>25</v>
      </c>
      <c r="I60" s="13">
        <v>4050</v>
      </c>
      <c r="J60" s="53">
        <f t="shared" si="44"/>
        <v>90213.75</v>
      </c>
      <c r="K60" s="54">
        <f t="shared" si="45"/>
        <v>7500</v>
      </c>
      <c r="L60" s="44">
        <f t="shared" si="48"/>
        <v>2227.5</v>
      </c>
      <c r="M60" s="44">
        <f t="shared" si="49"/>
        <v>92441.25</v>
      </c>
      <c r="N60" s="53">
        <f t="shared" si="50"/>
        <v>99941.25</v>
      </c>
      <c r="O60" s="53">
        <f t="shared" si="51"/>
        <v>104038.84125</v>
      </c>
      <c r="P60" s="53">
        <f t="shared" si="52"/>
        <v>346.79613749999999</v>
      </c>
      <c r="Q60" s="44">
        <f t="shared" si="53"/>
        <v>109240.7833125</v>
      </c>
      <c r="R60" s="55">
        <f t="shared" si="54"/>
        <v>364.13594437500001</v>
      </c>
    </row>
    <row r="61" spans="1:18" ht="15.75" x14ac:dyDescent="0.3">
      <c r="A61" s="51">
        <v>6</v>
      </c>
      <c r="B61" s="55">
        <v>16</v>
      </c>
      <c r="C61" s="44">
        <f t="shared" si="46"/>
        <v>14.196</v>
      </c>
      <c r="D61" s="55">
        <v>280</v>
      </c>
      <c r="E61" s="55">
        <v>10</v>
      </c>
      <c r="F61" s="13">
        <v>3</v>
      </c>
      <c r="G61" s="52">
        <f t="shared" si="47"/>
        <v>34.65</v>
      </c>
      <c r="H61" s="55">
        <v>32.799999999999997</v>
      </c>
      <c r="I61" s="13">
        <v>4050</v>
      </c>
      <c r="J61" s="53">
        <f t="shared" si="44"/>
        <v>140332.5</v>
      </c>
      <c r="K61" s="54">
        <f t="shared" si="45"/>
        <v>9840</v>
      </c>
      <c r="L61" s="44">
        <f t="shared" si="48"/>
        <v>3465</v>
      </c>
      <c r="M61" s="44">
        <f t="shared" si="49"/>
        <v>143797.5</v>
      </c>
      <c r="N61" s="53">
        <f t="shared" si="50"/>
        <v>153637.5</v>
      </c>
      <c r="O61" s="53">
        <f t="shared" si="51"/>
        <v>159936.63750000001</v>
      </c>
      <c r="P61" s="53">
        <f t="shared" si="52"/>
        <v>533.12212499999998</v>
      </c>
      <c r="Q61" s="44">
        <f t="shared" si="53"/>
        <v>167933.46937500002</v>
      </c>
      <c r="R61" s="55">
        <f t="shared" si="54"/>
        <v>559.77823125000009</v>
      </c>
    </row>
    <row r="62" spans="1:18" ht="15.75" x14ac:dyDescent="0.3">
      <c r="A62" s="51">
        <v>7</v>
      </c>
      <c r="B62" s="55">
        <v>25</v>
      </c>
      <c r="C62" s="44">
        <f t="shared" si="46"/>
        <v>19.874400000000001</v>
      </c>
      <c r="D62" s="55">
        <v>200</v>
      </c>
      <c r="E62" s="55">
        <v>14</v>
      </c>
      <c r="F62" s="13">
        <v>3</v>
      </c>
      <c r="G62" s="52">
        <f t="shared" si="47"/>
        <v>48.51</v>
      </c>
      <c r="H62" s="55"/>
      <c r="I62" s="13">
        <v>4050</v>
      </c>
      <c r="J62" s="53">
        <f t="shared" si="44"/>
        <v>196465.5</v>
      </c>
      <c r="K62" s="54">
        <f t="shared" si="45"/>
        <v>0</v>
      </c>
      <c r="L62" s="44">
        <f t="shared" si="48"/>
        <v>4851</v>
      </c>
      <c r="M62" s="44">
        <f t="shared" si="49"/>
        <v>201316.5</v>
      </c>
      <c r="N62" s="53">
        <f t="shared" si="50"/>
        <v>201316.5</v>
      </c>
      <c r="O62" s="53">
        <f t="shared" si="51"/>
        <v>209570.47649999999</v>
      </c>
      <c r="P62" s="53">
        <f t="shared" si="52"/>
        <v>698.56825500000002</v>
      </c>
      <c r="Q62" s="44">
        <f t="shared" si="53"/>
        <v>220049.000325</v>
      </c>
      <c r="R62" s="55">
        <f t="shared" si="54"/>
        <v>733.49666775000003</v>
      </c>
    </row>
    <row r="63" spans="1:18" ht="15.75" x14ac:dyDescent="0.3">
      <c r="A63" s="51">
        <v>8</v>
      </c>
      <c r="B63" s="55">
        <v>35</v>
      </c>
      <c r="C63" s="44">
        <f t="shared" si="46"/>
        <v>29.811599999999999</v>
      </c>
      <c r="D63" s="55">
        <v>300</v>
      </c>
      <c r="E63" s="55">
        <v>14</v>
      </c>
      <c r="F63" s="13">
        <v>3</v>
      </c>
      <c r="G63" s="52">
        <f t="shared" si="47"/>
        <v>72.765000000000001</v>
      </c>
      <c r="H63" s="55"/>
      <c r="I63" s="13">
        <v>4050</v>
      </c>
      <c r="J63" s="53">
        <f t="shared" si="44"/>
        <v>294698.25</v>
      </c>
      <c r="K63" s="54">
        <f t="shared" si="45"/>
        <v>0</v>
      </c>
      <c r="L63" s="44">
        <f t="shared" si="48"/>
        <v>7276.5</v>
      </c>
      <c r="M63" s="44">
        <f t="shared" si="49"/>
        <v>301974.75</v>
      </c>
      <c r="N63" s="53">
        <f t="shared" si="50"/>
        <v>301974.75</v>
      </c>
      <c r="O63" s="53">
        <f t="shared" si="51"/>
        <v>314355.71474999998</v>
      </c>
      <c r="P63" s="53">
        <f t="shared" si="52"/>
        <v>1047.8523825</v>
      </c>
      <c r="Q63" s="44">
        <f t="shared" si="53"/>
        <v>330073.50048749999</v>
      </c>
      <c r="R63" s="55">
        <f t="shared" si="54"/>
        <v>1100.245001625</v>
      </c>
    </row>
    <row r="64" spans="1:18" ht="15.75" x14ac:dyDescent="0.3">
      <c r="A64" s="51">
        <v>9</v>
      </c>
      <c r="B64" s="55">
        <v>50</v>
      </c>
      <c r="C64" s="44">
        <f t="shared" si="46"/>
        <v>39.748800000000003</v>
      </c>
      <c r="D64" s="55">
        <v>400</v>
      </c>
      <c r="E64" s="55">
        <v>14</v>
      </c>
      <c r="F64" s="13">
        <v>3</v>
      </c>
      <c r="G64" s="52">
        <f t="shared" si="47"/>
        <v>97.02</v>
      </c>
      <c r="H64" s="55"/>
      <c r="I64" s="13">
        <v>4050</v>
      </c>
      <c r="J64" s="53">
        <f t="shared" si="44"/>
        <v>392931</v>
      </c>
      <c r="K64" s="54">
        <f t="shared" si="45"/>
        <v>0</v>
      </c>
      <c r="L64" s="44">
        <f t="shared" si="48"/>
        <v>9702</v>
      </c>
      <c r="M64" s="44">
        <f t="shared" si="49"/>
        <v>402633</v>
      </c>
      <c r="N64" s="53">
        <f t="shared" si="50"/>
        <v>402633</v>
      </c>
      <c r="O64" s="53">
        <f t="shared" si="51"/>
        <v>419140.95299999998</v>
      </c>
      <c r="P64" s="53">
        <f t="shared" si="52"/>
        <v>1397.13651</v>
      </c>
      <c r="Q64" s="44">
        <f t="shared" si="53"/>
        <v>440098.00065</v>
      </c>
      <c r="R64" s="55">
        <f t="shared" si="54"/>
        <v>1466.9933355000001</v>
      </c>
    </row>
    <row r="65" spans="1:18" ht="15.75" x14ac:dyDescent="0.3">
      <c r="A65" s="51">
        <v>10</v>
      </c>
      <c r="B65" s="55">
        <v>70</v>
      </c>
      <c r="C65" s="44">
        <f t="shared" si="46"/>
        <v>59.623199999999997</v>
      </c>
      <c r="D65" s="55">
        <v>600</v>
      </c>
      <c r="E65" s="55">
        <v>14</v>
      </c>
      <c r="F65" s="13">
        <v>3</v>
      </c>
      <c r="G65" s="52">
        <f t="shared" si="47"/>
        <v>145.53</v>
      </c>
      <c r="H65" s="55"/>
      <c r="I65" s="13">
        <v>4050</v>
      </c>
      <c r="J65" s="53">
        <f t="shared" si="44"/>
        <v>589396.5</v>
      </c>
      <c r="K65" s="54">
        <f t="shared" si="45"/>
        <v>0</v>
      </c>
      <c r="L65" s="44">
        <f t="shared" si="48"/>
        <v>14553</v>
      </c>
      <c r="M65" s="44">
        <f t="shared" si="49"/>
        <v>603949.5</v>
      </c>
      <c r="N65" s="53">
        <f t="shared" si="50"/>
        <v>603949.5</v>
      </c>
      <c r="O65" s="53">
        <f t="shared" si="51"/>
        <v>628711.42949999997</v>
      </c>
      <c r="P65" s="53">
        <f t="shared" si="52"/>
        <v>2095.704765</v>
      </c>
      <c r="Q65" s="44">
        <f t="shared" si="53"/>
        <v>660147.00097499997</v>
      </c>
      <c r="R65" s="55">
        <f t="shared" si="54"/>
        <v>2200.49000325</v>
      </c>
    </row>
    <row r="66" spans="1:18" ht="15.75" x14ac:dyDescent="0.3">
      <c r="A66" s="51">
        <v>11</v>
      </c>
      <c r="B66" s="55">
        <v>95</v>
      </c>
      <c r="C66" s="44">
        <f t="shared" si="46"/>
        <v>79.497600000000006</v>
      </c>
      <c r="D66" s="55">
        <v>800</v>
      </c>
      <c r="E66" s="55">
        <v>14</v>
      </c>
      <c r="F66" s="13">
        <v>3</v>
      </c>
      <c r="G66" s="52">
        <f t="shared" si="47"/>
        <v>194.04</v>
      </c>
      <c r="H66" s="55"/>
      <c r="I66" s="13">
        <v>4050</v>
      </c>
      <c r="J66" s="53">
        <f t="shared" si="44"/>
        <v>785862</v>
      </c>
      <c r="K66" s="54">
        <f t="shared" si="45"/>
        <v>0</v>
      </c>
      <c r="L66" s="44">
        <f t="shared" si="48"/>
        <v>19404</v>
      </c>
      <c r="M66" s="44">
        <f t="shared" si="49"/>
        <v>805266</v>
      </c>
      <c r="N66" s="53">
        <f t="shared" si="50"/>
        <v>805266</v>
      </c>
      <c r="O66" s="53">
        <f t="shared" si="51"/>
        <v>838281.90599999996</v>
      </c>
      <c r="P66" s="53">
        <f t="shared" si="52"/>
        <v>2794.2730200000001</v>
      </c>
      <c r="Q66" s="44">
        <f t="shared" si="53"/>
        <v>880196.0013</v>
      </c>
      <c r="R66" s="55">
        <f t="shared" si="54"/>
        <v>2933.9866710000001</v>
      </c>
    </row>
    <row r="67" spans="1:18" ht="31.5" x14ac:dyDescent="0.5">
      <c r="A67" s="66" t="s">
        <v>32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</row>
    <row r="68" spans="1:18" ht="40.5" x14ac:dyDescent="0.3">
      <c r="A68" s="47" t="s">
        <v>25</v>
      </c>
      <c r="B68" s="48" t="s">
        <v>1</v>
      </c>
      <c r="C68" s="48" t="s">
        <v>26</v>
      </c>
      <c r="D68" s="48" t="s">
        <v>7</v>
      </c>
      <c r="E68" s="48" t="s">
        <v>2</v>
      </c>
      <c r="F68" s="48" t="s">
        <v>8</v>
      </c>
      <c r="G68" s="49" t="s">
        <v>36</v>
      </c>
      <c r="H68" s="48" t="s">
        <v>10</v>
      </c>
      <c r="I68" s="48" t="s">
        <v>9</v>
      </c>
      <c r="J68" s="48" t="s">
        <v>12</v>
      </c>
      <c r="K68" s="48" t="s">
        <v>35</v>
      </c>
      <c r="L68" s="46" t="s">
        <v>14</v>
      </c>
      <c r="M68" s="46" t="s">
        <v>37</v>
      </c>
      <c r="N68" s="48" t="s">
        <v>16</v>
      </c>
      <c r="O68" s="48" t="s">
        <v>4</v>
      </c>
      <c r="P68" s="48" t="s">
        <v>17</v>
      </c>
      <c r="Q68" s="48" t="s">
        <v>5</v>
      </c>
      <c r="R68" s="48" t="s">
        <v>18</v>
      </c>
    </row>
    <row r="69" spans="1:18" x14ac:dyDescent="0.25">
      <c r="A69" s="51">
        <v>1</v>
      </c>
      <c r="B69" s="13">
        <v>1.5</v>
      </c>
      <c r="C69" s="45">
        <f>SUM(E69*E69*D69*507/1000000)</f>
        <v>0.95062500000000005</v>
      </c>
      <c r="D69" s="55">
        <v>3</v>
      </c>
      <c r="E69" s="55">
        <v>25</v>
      </c>
      <c r="F69" s="55">
        <v>3</v>
      </c>
      <c r="G69" s="45">
        <f>SUM(E69*E69*D69*F69*330/800000)</f>
        <v>2.3203125</v>
      </c>
      <c r="H69" s="56">
        <v>10.9</v>
      </c>
      <c r="I69" s="57">
        <v>4050</v>
      </c>
      <c r="J69" s="45">
        <f t="shared" ref="J69:J79" si="55">SUM(G69*I69)</f>
        <v>9397.265625</v>
      </c>
      <c r="K69" s="58">
        <f t="shared" ref="K69:K79" si="56">SUM(H69*300)</f>
        <v>3270</v>
      </c>
      <c r="L69" s="45">
        <f>SUM(G69*50)</f>
        <v>116.015625</v>
      </c>
      <c r="M69" s="45">
        <f>SUM(J69+L69)</f>
        <v>9513.28125</v>
      </c>
      <c r="N69" s="45">
        <f>SUM(M69+K69)</f>
        <v>12783.28125</v>
      </c>
      <c r="O69" s="45">
        <f>N69+(N69*4.1%)</f>
        <v>13307.395781249999</v>
      </c>
      <c r="P69" s="45">
        <f>SUM(O69/300)</f>
        <v>44.357985937499997</v>
      </c>
      <c r="Q69" s="45">
        <f>O69+(O69*5%)</f>
        <v>13972.7655703125</v>
      </c>
      <c r="R69" s="55">
        <f>SUM(Q69/300)</f>
        <v>46.575885234375001</v>
      </c>
    </row>
    <row r="70" spans="1:18" x14ac:dyDescent="0.25">
      <c r="A70" s="51">
        <v>2</v>
      </c>
      <c r="B70" s="13">
        <v>2.5</v>
      </c>
      <c r="C70" s="45">
        <f t="shared" ref="C70:C79" si="57">SUM(E70*E70*D70*507/1000000)</f>
        <v>2.2181250000000001</v>
      </c>
      <c r="D70" s="55">
        <v>7</v>
      </c>
      <c r="E70" s="55">
        <v>25</v>
      </c>
      <c r="F70" s="55">
        <v>3</v>
      </c>
      <c r="G70" s="45">
        <f t="shared" ref="G70:G79" si="58">SUM(E70*E70*D70*F70*330/800000)</f>
        <v>5.4140625</v>
      </c>
      <c r="H70" s="56">
        <v>13.8</v>
      </c>
      <c r="I70" s="57">
        <v>4050</v>
      </c>
      <c r="J70" s="45">
        <f t="shared" si="55"/>
        <v>21926.953125</v>
      </c>
      <c r="K70" s="58">
        <f t="shared" si="56"/>
        <v>4140</v>
      </c>
      <c r="L70" s="45">
        <f t="shared" ref="L70:L79" si="59">SUM(G70*50)</f>
        <v>270.703125</v>
      </c>
      <c r="M70" s="45">
        <f t="shared" ref="M70:M79" si="60">SUM(J70+L70)</f>
        <v>22197.65625</v>
      </c>
      <c r="N70" s="45">
        <f t="shared" ref="N70:N79" si="61">SUM(M70+K70)</f>
        <v>26337.65625</v>
      </c>
      <c r="O70" s="45">
        <f t="shared" ref="O70:O79" si="62">N70+(N70*4.1%)</f>
        <v>27417.50015625</v>
      </c>
      <c r="P70" s="45">
        <f t="shared" ref="P70:P79" si="63">SUM(O70/300)</f>
        <v>91.391667187500005</v>
      </c>
      <c r="Q70" s="45">
        <f t="shared" ref="Q70:Q79" si="64">O70+(O70*5%)</f>
        <v>28788.375164062501</v>
      </c>
      <c r="R70" s="55">
        <f t="shared" ref="R70:R79" si="65">SUM(Q70/300)</f>
        <v>95.961250546875007</v>
      </c>
    </row>
    <row r="71" spans="1:18" x14ac:dyDescent="0.25">
      <c r="A71" s="51">
        <v>3</v>
      </c>
      <c r="B71" s="13">
        <v>4</v>
      </c>
      <c r="C71" s="45">
        <f t="shared" si="57"/>
        <v>3.1941000000000002</v>
      </c>
      <c r="D71" s="55">
        <v>7</v>
      </c>
      <c r="E71" s="55">
        <v>30</v>
      </c>
      <c r="F71" s="55">
        <v>3</v>
      </c>
      <c r="G71" s="45">
        <f t="shared" si="58"/>
        <v>7.7962499999999997</v>
      </c>
      <c r="H71" s="56">
        <v>18.5</v>
      </c>
      <c r="I71" s="57">
        <v>4050</v>
      </c>
      <c r="J71" s="45">
        <f t="shared" si="55"/>
        <v>31574.8125</v>
      </c>
      <c r="K71" s="58">
        <f t="shared" si="56"/>
        <v>5550</v>
      </c>
      <c r="L71" s="45">
        <f t="shared" si="59"/>
        <v>389.8125</v>
      </c>
      <c r="M71" s="45">
        <f t="shared" si="60"/>
        <v>31964.625</v>
      </c>
      <c r="N71" s="45">
        <f t="shared" si="61"/>
        <v>37514.625</v>
      </c>
      <c r="O71" s="45">
        <f t="shared" si="62"/>
        <v>39052.724625000003</v>
      </c>
      <c r="P71" s="45">
        <f t="shared" si="63"/>
        <v>130.17574875</v>
      </c>
      <c r="Q71" s="45">
        <f t="shared" si="64"/>
        <v>41005.360856250001</v>
      </c>
      <c r="R71" s="55">
        <f t="shared" si="65"/>
        <v>136.68453618750002</v>
      </c>
    </row>
    <row r="72" spans="1:18" x14ac:dyDescent="0.25">
      <c r="A72" s="51">
        <v>4</v>
      </c>
      <c r="B72" s="13">
        <v>6</v>
      </c>
      <c r="C72" s="45">
        <f t="shared" si="57"/>
        <v>5.1247559999999996</v>
      </c>
      <c r="D72" s="55">
        <v>7</v>
      </c>
      <c r="E72" s="55">
        <v>38</v>
      </c>
      <c r="F72" s="55">
        <v>3</v>
      </c>
      <c r="G72" s="45">
        <f t="shared" si="58"/>
        <v>12.508649999999999</v>
      </c>
      <c r="H72" s="56">
        <v>21</v>
      </c>
      <c r="I72" s="57">
        <v>4050</v>
      </c>
      <c r="J72" s="45">
        <f t="shared" si="55"/>
        <v>50660.032499999994</v>
      </c>
      <c r="K72" s="58">
        <f t="shared" si="56"/>
        <v>6300</v>
      </c>
      <c r="L72" s="45">
        <f t="shared" si="59"/>
        <v>625.4325</v>
      </c>
      <c r="M72" s="45">
        <f t="shared" si="60"/>
        <v>51285.464999999997</v>
      </c>
      <c r="N72" s="45">
        <f t="shared" si="61"/>
        <v>57585.464999999997</v>
      </c>
      <c r="O72" s="45">
        <f t="shared" si="62"/>
        <v>59946.469064999997</v>
      </c>
      <c r="P72" s="45">
        <f t="shared" si="63"/>
        <v>199.82156354999998</v>
      </c>
      <c r="Q72" s="45">
        <f t="shared" si="64"/>
        <v>62943.792518249997</v>
      </c>
      <c r="R72" s="55">
        <f t="shared" si="65"/>
        <v>209.81264172749999</v>
      </c>
    </row>
    <row r="73" spans="1:18" x14ac:dyDescent="0.25">
      <c r="A73" s="51">
        <v>5</v>
      </c>
      <c r="B73" s="55">
        <v>10</v>
      </c>
      <c r="C73" s="45">
        <f t="shared" si="57"/>
        <v>7.8397410000000001</v>
      </c>
      <c r="D73" s="55">
        <v>7</v>
      </c>
      <c r="E73" s="55">
        <v>47</v>
      </c>
      <c r="F73" s="55">
        <v>3</v>
      </c>
      <c r="G73" s="45">
        <f t="shared" si="58"/>
        <v>19.135462499999999</v>
      </c>
      <c r="H73" s="55">
        <v>25</v>
      </c>
      <c r="I73" s="57">
        <v>4050</v>
      </c>
      <c r="J73" s="45">
        <f t="shared" si="55"/>
        <v>77498.623124999998</v>
      </c>
      <c r="K73" s="58">
        <f t="shared" si="56"/>
        <v>7500</v>
      </c>
      <c r="L73" s="45">
        <f t="shared" si="59"/>
        <v>956.77312499999994</v>
      </c>
      <c r="M73" s="45">
        <f t="shared" si="60"/>
        <v>78455.396250000005</v>
      </c>
      <c r="N73" s="45">
        <f t="shared" si="61"/>
        <v>85955.396250000005</v>
      </c>
      <c r="O73" s="45">
        <f t="shared" si="62"/>
        <v>89479.567496250005</v>
      </c>
      <c r="P73" s="45">
        <f t="shared" si="63"/>
        <v>298.26522498750001</v>
      </c>
      <c r="Q73" s="45">
        <f t="shared" si="64"/>
        <v>93953.54587106251</v>
      </c>
      <c r="R73" s="55">
        <f t="shared" si="65"/>
        <v>313.17848623687502</v>
      </c>
    </row>
    <row r="74" spans="1:18" x14ac:dyDescent="0.25">
      <c r="A74" s="51">
        <v>6</v>
      </c>
      <c r="B74" s="55">
        <v>16</v>
      </c>
      <c r="C74" s="45">
        <f t="shared" si="57"/>
        <v>12.776400000000001</v>
      </c>
      <c r="D74" s="55">
        <v>7</v>
      </c>
      <c r="E74" s="55">
        <v>60</v>
      </c>
      <c r="F74" s="55">
        <v>3</v>
      </c>
      <c r="G74" s="45">
        <f t="shared" si="58"/>
        <v>31.184999999999999</v>
      </c>
      <c r="H74" s="55">
        <v>32.799999999999997</v>
      </c>
      <c r="I74" s="57">
        <v>4050</v>
      </c>
      <c r="J74" s="45">
        <f t="shared" si="55"/>
        <v>126299.25</v>
      </c>
      <c r="K74" s="58">
        <f>SUM(H74*300)</f>
        <v>9840</v>
      </c>
      <c r="L74" s="45">
        <f t="shared" si="59"/>
        <v>1559.25</v>
      </c>
      <c r="M74" s="45">
        <f t="shared" si="60"/>
        <v>127858.5</v>
      </c>
      <c r="N74" s="45">
        <f t="shared" si="61"/>
        <v>137698.5</v>
      </c>
      <c r="O74" s="45">
        <f t="shared" si="62"/>
        <v>143344.1385</v>
      </c>
      <c r="P74" s="45">
        <f t="shared" si="63"/>
        <v>477.81379500000003</v>
      </c>
      <c r="Q74" s="45">
        <f t="shared" si="64"/>
        <v>150511.34542500001</v>
      </c>
      <c r="R74" s="55">
        <f t="shared" si="65"/>
        <v>501.70448475000001</v>
      </c>
    </row>
    <row r="75" spans="1:18" x14ac:dyDescent="0.25">
      <c r="A75" s="51">
        <v>7</v>
      </c>
      <c r="B75" s="55">
        <v>25</v>
      </c>
      <c r="C75" s="45">
        <f t="shared" si="57"/>
        <v>24.0825</v>
      </c>
      <c r="D75" s="55">
        <v>19</v>
      </c>
      <c r="E75" s="55">
        <v>50</v>
      </c>
      <c r="F75" s="55">
        <v>3</v>
      </c>
      <c r="G75" s="45">
        <f t="shared" si="58"/>
        <v>58.78125</v>
      </c>
      <c r="H75" s="55"/>
      <c r="I75" s="57">
        <v>4050</v>
      </c>
      <c r="J75" s="45">
        <f t="shared" si="55"/>
        <v>238064.0625</v>
      </c>
      <c r="K75" s="58">
        <f t="shared" si="56"/>
        <v>0</v>
      </c>
      <c r="L75" s="45">
        <f t="shared" si="59"/>
        <v>2939.0625</v>
      </c>
      <c r="M75" s="45">
        <f t="shared" si="60"/>
        <v>241003.125</v>
      </c>
      <c r="N75" s="45">
        <f t="shared" si="61"/>
        <v>241003.125</v>
      </c>
      <c r="O75" s="45">
        <f t="shared" si="62"/>
        <v>250884.25312499999</v>
      </c>
      <c r="P75" s="45">
        <f t="shared" si="63"/>
        <v>836.28084374999992</v>
      </c>
      <c r="Q75" s="45">
        <f t="shared" si="64"/>
        <v>263428.46578124998</v>
      </c>
      <c r="R75" s="55">
        <f t="shared" si="65"/>
        <v>878.09488593749995</v>
      </c>
    </row>
    <row r="76" spans="1:18" x14ac:dyDescent="0.25">
      <c r="A76" s="51">
        <v>8</v>
      </c>
      <c r="B76" s="55">
        <v>35</v>
      </c>
      <c r="C76" s="45">
        <f t="shared" si="57"/>
        <v>32.405411999999998</v>
      </c>
      <c r="D76" s="55">
        <v>19</v>
      </c>
      <c r="E76" s="55">
        <v>58</v>
      </c>
      <c r="F76" s="55">
        <v>3</v>
      </c>
      <c r="G76" s="45">
        <f t="shared" si="58"/>
        <v>79.096050000000005</v>
      </c>
      <c r="H76" s="55"/>
      <c r="I76" s="57">
        <v>4050</v>
      </c>
      <c r="J76" s="45">
        <f t="shared" si="55"/>
        <v>320339.0025</v>
      </c>
      <c r="K76" s="58">
        <f t="shared" si="56"/>
        <v>0</v>
      </c>
      <c r="L76" s="45">
        <f t="shared" si="59"/>
        <v>3954.8025000000002</v>
      </c>
      <c r="M76" s="45">
        <f t="shared" si="60"/>
        <v>324293.80499999999</v>
      </c>
      <c r="N76" s="45">
        <f t="shared" si="61"/>
        <v>324293.80499999999</v>
      </c>
      <c r="O76" s="45">
        <f t="shared" si="62"/>
        <v>337589.851005</v>
      </c>
      <c r="P76" s="45">
        <f t="shared" si="63"/>
        <v>1125.2995033500001</v>
      </c>
      <c r="Q76" s="45">
        <f t="shared" si="64"/>
        <v>354469.34355525003</v>
      </c>
      <c r="R76" s="55">
        <f t="shared" si="65"/>
        <v>1181.5644785175</v>
      </c>
    </row>
    <row r="77" spans="1:18" x14ac:dyDescent="0.25">
      <c r="A77" s="51">
        <v>9</v>
      </c>
      <c r="B77" s="55">
        <v>50</v>
      </c>
      <c r="C77" s="45">
        <f t="shared" si="57"/>
        <v>44.542991999999998</v>
      </c>
      <c r="D77" s="55">
        <v>19</v>
      </c>
      <c r="E77" s="55">
        <v>68</v>
      </c>
      <c r="F77" s="55">
        <v>3</v>
      </c>
      <c r="G77" s="45">
        <f t="shared" si="58"/>
        <v>108.7218</v>
      </c>
      <c r="H77" s="55"/>
      <c r="I77" s="57">
        <v>4050</v>
      </c>
      <c r="J77" s="45">
        <f t="shared" si="55"/>
        <v>440323.29</v>
      </c>
      <c r="K77" s="58">
        <f t="shared" si="56"/>
        <v>0</v>
      </c>
      <c r="L77" s="45">
        <f t="shared" si="59"/>
        <v>5436.09</v>
      </c>
      <c r="M77" s="45">
        <f t="shared" si="60"/>
        <v>445759.38</v>
      </c>
      <c r="N77" s="45">
        <f t="shared" si="61"/>
        <v>445759.38</v>
      </c>
      <c r="O77" s="45">
        <f t="shared" si="62"/>
        <v>464035.51458000002</v>
      </c>
      <c r="P77" s="45">
        <f t="shared" si="63"/>
        <v>1546.7850486</v>
      </c>
      <c r="Q77" s="45">
        <f t="shared" si="64"/>
        <v>487237.290309</v>
      </c>
      <c r="R77" s="55">
        <f t="shared" si="65"/>
        <v>1624.12430103</v>
      </c>
    </row>
    <row r="78" spans="1:18" x14ac:dyDescent="0.25">
      <c r="A78" s="51">
        <v>10</v>
      </c>
      <c r="B78" s="55">
        <v>70</v>
      </c>
      <c r="C78" s="45">
        <f t="shared" si="57"/>
        <v>58.406399999999998</v>
      </c>
      <c r="D78" s="55">
        <v>18</v>
      </c>
      <c r="E78" s="55">
        <v>80</v>
      </c>
      <c r="F78" s="55">
        <v>3</v>
      </c>
      <c r="G78" s="45">
        <f t="shared" si="58"/>
        <v>142.56</v>
      </c>
      <c r="H78" s="55"/>
      <c r="I78" s="57">
        <v>4050</v>
      </c>
      <c r="J78" s="45">
        <f t="shared" si="55"/>
        <v>577368</v>
      </c>
      <c r="K78" s="58">
        <f t="shared" si="56"/>
        <v>0</v>
      </c>
      <c r="L78" s="45">
        <f t="shared" si="59"/>
        <v>7128</v>
      </c>
      <c r="M78" s="45">
        <f t="shared" si="60"/>
        <v>584496</v>
      </c>
      <c r="N78" s="45">
        <f t="shared" si="61"/>
        <v>584496</v>
      </c>
      <c r="O78" s="45">
        <f t="shared" si="62"/>
        <v>608460.33600000001</v>
      </c>
      <c r="P78" s="45">
        <f t="shared" si="63"/>
        <v>2028.2011199999999</v>
      </c>
      <c r="Q78" s="45">
        <f t="shared" si="64"/>
        <v>638883.35279999999</v>
      </c>
      <c r="R78" s="55">
        <f t="shared" si="65"/>
        <v>2129.6111759999999</v>
      </c>
    </row>
    <row r="79" spans="1:18" x14ac:dyDescent="0.25">
      <c r="A79" s="51">
        <v>11</v>
      </c>
      <c r="B79" s="55">
        <v>95</v>
      </c>
      <c r="C79" s="45">
        <f t="shared" si="57"/>
        <v>86.741615999999993</v>
      </c>
      <c r="D79" s="55">
        <v>37</v>
      </c>
      <c r="E79" s="55">
        <v>68</v>
      </c>
      <c r="F79" s="55">
        <v>3</v>
      </c>
      <c r="G79" s="45">
        <f t="shared" si="58"/>
        <v>211.72139999999999</v>
      </c>
      <c r="H79" s="55"/>
      <c r="I79" s="57">
        <v>4050</v>
      </c>
      <c r="J79" s="45">
        <f t="shared" si="55"/>
        <v>857471.66999999993</v>
      </c>
      <c r="K79" s="58">
        <f t="shared" si="56"/>
        <v>0</v>
      </c>
      <c r="L79" s="45">
        <f t="shared" si="59"/>
        <v>10586.07</v>
      </c>
      <c r="M79" s="45">
        <f t="shared" si="60"/>
        <v>868057.73999999987</v>
      </c>
      <c r="N79" s="45">
        <f t="shared" si="61"/>
        <v>868057.73999999987</v>
      </c>
      <c r="O79" s="45">
        <f t="shared" si="62"/>
        <v>903648.10733999987</v>
      </c>
      <c r="P79" s="45">
        <f t="shared" si="63"/>
        <v>3012.1603577999995</v>
      </c>
      <c r="Q79" s="45">
        <f t="shared" si="64"/>
        <v>948830.5127069999</v>
      </c>
      <c r="R79" s="55">
        <f t="shared" si="65"/>
        <v>3162.7683756899996</v>
      </c>
    </row>
    <row r="80" spans="1:18" ht="31.5" x14ac:dyDescent="0.25">
      <c r="A80" s="67" t="s">
        <v>33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</row>
    <row r="81" spans="1:18" ht="40.5" x14ac:dyDescent="0.3">
      <c r="A81" s="47" t="s">
        <v>25</v>
      </c>
      <c r="B81" s="48" t="s">
        <v>1</v>
      </c>
      <c r="C81" s="48" t="s">
        <v>26</v>
      </c>
      <c r="D81" s="48" t="s">
        <v>7</v>
      </c>
      <c r="E81" s="48" t="s">
        <v>2</v>
      </c>
      <c r="F81" s="48" t="s">
        <v>8</v>
      </c>
      <c r="G81" s="49" t="s">
        <v>36</v>
      </c>
      <c r="H81" s="48" t="s">
        <v>10</v>
      </c>
      <c r="I81" s="48" t="s">
        <v>9</v>
      </c>
      <c r="J81" s="48" t="s">
        <v>12</v>
      </c>
      <c r="K81" s="48" t="s">
        <v>35</v>
      </c>
      <c r="L81" s="46" t="s">
        <v>14</v>
      </c>
      <c r="M81" s="46" t="s">
        <v>37</v>
      </c>
      <c r="N81" s="48" t="s">
        <v>16</v>
      </c>
      <c r="O81" s="48" t="s">
        <v>4</v>
      </c>
      <c r="P81" s="48" t="s">
        <v>17</v>
      </c>
      <c r="Q81" s="48" t="s">
        <v>5</v>
      </c>
      <c r="R81" s="48" t="s">
        <v>18</v>
      </c>
    </row>
    <row r="82" spans="1:18" ht="15.75" x14ac:dyDescent="0.3">
      <c r="A82" s="51">
        <v>1</v>
      </c>
      <c r="B82" s="13">
        <v>1.5</v>
      </c>
      <c r="C82" s="44">
        <f>SUM(E82*E82*D82*507/1000000)</f>
        <v>1.1660999999999999</v>
      </c>
      <c r="D82" s="13">
        <v>23</v>
      </c>
      <c r="E82" s="13">
        <v>10</v>
      </c>
      <c r="F82" s="13">
        <v>4</v>
      </c>
      <c r="G82" s="52">
        <f>SUM(E82*E82*D82*F82*330/800000)</f>
        <v>3.7949999999999999</v>
      </c>
      <c r="H82" s="13">
        <v>13.2</v>
      </c>
      <c r="I82" s="13">
        <v>4050</v>
      </c>
      <c r="J82" s="53">
        <f t="shared" ref="J82:J92" si="66">SUM(G82*I82)</f>
        <v>15369.75</v>
      </c>
      <c r="K82" s="54">
        <f t="shared" ref="K82:K92" si="67">SUM(H82*300)</f>
        <v>3960</v>
      </c>
      <c r="L82" s="44">
        <f>SUM(G82*100)</f>
        <v>379.5</v>
      </c>
      <c r="M82" s="44">
        <f>SUM(J82+L82)</f>
        <v>15749.25</v>
      </c>
      <c r="N82" s="53">
        <f>SUM(M82+K82)</f>
        <v>19709.25</v>
      </c>
      <c r="O82" s="53">
        <f>N82+(N82*4.1%)</f>
        <v>20517.329249999999</v>
      </c>
      <c r="P82" s="53">
        <f>SUM(O82/300)</f>
        <v>68.391097500000001</v>
      </c>
      <c r="Q82" s="44">
        <f>O82+(O82*5%)</f>
        <v>21543.195712499997</v>
      </c>
      <c r="R82" s="55">
        <f>SUM(Q82/300)</f>
        <v>71.810652374999989</v>
      </c>
    </row>
    <row r="83" spans="1:18" ht="15.75" x14ac:dyDescent="0.3">
      <c r="A83" s="51">
        <v>2</v>
      </c>
      <c r="B83" s="13">
        <v>2.5</v>
      </c>
      <c r="C83" s="44">
        <f t="shared" ref="C83:C92" si="68">SUM(E83*E83*D83*507/1000000)</f>
        <v>2.028</v>
      </c>
      <c r="D83" s="13">
        <v>40</v>
      </c>
      <c r="E83" s="13">
        <v>10</v>
      </c>
      <c r="F83" s="13">
        <v>4</v>
      </c>
      <c r="G83" s="52">
        <f t="shared" ref="G83:G92" si="69">SUM(E83*E83*D83*F83*330/800000)</f>
        <v>6.6</v>
      </c>
      <c r="H83" s="13">
        <v>16.399999999999999</v>
      </c>
      <c r="I83" s="13">
        <v>4050</v>
      </c>
      <c r="J83" s="53">
        <f t="shared" si="66"/>
        <v>26730</v>
      </c>
      <c r="K83" s="54">
        <f t="shared" si="67"/>
        <v>4920</v>
      </c>
      <c r="L83" s="44">
        <f t="shared" ref="L83:L92" si="70">SUM(G83*100)</f>
        <v>660</v>
      </c>
      <c r="M83" s="44">
        <f t="shared" ref="M83:M92" si="71">SUM(J83+L83)</f>
        <v>27390</v>
      </c>
      <c r="N83" s="53">
        <f t="shared" ref="N83:N92" si="72">SUM(M83+K83)</f>
        <v>32310</v>
      </c>
      <c r="O83" s="53">
        <f t="shared" ref="O83:O92" si="73">N83+(N83*4.1%)</f>
        <v>33634.71</v>
      </c>
      <c r="P83" s="53">
        <f t="shared" ref="P83:P92" si="74">SUM(O83/300)</f>
        <v>112.1157</v>
      </c>
      <c r="Q83" s="44">
        <f t="shared" ref="Q83:Q92" si="75">O83+(O83*5%)</f>
        <v>35316.445500000002</v>
      </c>
      <c r="R83" s="55">
        <f t="shared" ref="R83:R92" si="76">SUM(Q83/300)</f>
        <v>117.721485</v>
      </c>
    </row>
    <row r="84" spans="1:18" ht="15.75" x14ac:dyDescent="0.3">
      <c r="A84" s="51">
        <v>3</v>
      </c>
      <c r="B84" s="13">
        <v>4</v>
      </c>
      <c r="C84" s="44">
        <f t="shared" si="68"/>
        <v>3.0419999999999998</v>
      </c>
      <c r="D84" s="13">
        <v>60</v>
      </c>
      <c r="E84" s="13">
        <v>10</v>
      </c>
      <c r="F84" s="13">
        <v>4</v>
      </c>
      <c r="G84" s="52">
        <f t="shared" si="69"/>
        <v>9.9</v>
      </c>
      <c r="H84" s="13">
        <v>22.5</v>
      </c>
      <c r="I84" s="13">
        <v>4050</v>
      </c>
      <c r="J84" s="53">
        <f t="shared" si="66"/>
        <v>40095</v>
      </c>
      <c r="K84" s="54">
        <f t="shared" si="67"/>
        <v>6750</v>
      </c>
      <c r="L84" s="44">
        <f t="shared" si="70"/>
        <v>990</v>
      </c>
      <c r="M84" s="44">
        <f t="shared" si="71"/>
        <v>41085</v>
      </c>
      <c r="N84" s="53">
        <f t="shared" si="72"/>
        <v>47835</v>
      </c>
      <c r="O84" s="53">
        <f t="shared" si="73"/>
        <v>49796.235000000001</v>
      </c>
      <c r="P84" s="53">
        <f t="shared" si="74"/>
        <v>165.98745</v>
      </c>
      <c r="Q84" s="44">
        <f t="shared" si="75"/>
        <v>52286.046750000001</v>
      </c>
      <c r="R84" s="55">
        <f t="shared" si="76"/>
        <v>174.2868225</v>
      </c>
    </row>
    <row r="85" spans="1:18" ht="15.75" x14ac:dyDescent="0.3">
      <c r="A85" s="51">
        <v>4</v>
      </c>
      <c r="B85" s="13">
        <v>6</v>
      </c>
      <c r="C85" s="44">
        <f t="shared" si="68"/>
        <v>5.07</v>
      </c>
      <c r="D85" s="13">
        <v>100</v>
      </c>
      <c r="E85" s="13">
        <v>10</v>
      </c>
      <c r="F85" s="13">
        <v>4</v>
      </c>
      <c r="G85" s="52">
        <f t="shared" si="69"/>
        <v>16.5</v>
      </c>
      <c r="H85" s="13">
        <v>26</v>
      </c>
      <c r="I85" s="13">
        <v>4050</v>
      </c>
      <c r="J85" s="53">
        <f t="shared" si="66"/>
        <v>66825</v>
      </c>
      <c r="K85" s="54">
        <f t="shared" si="67"/>
        <v>7800</v>
      </c>
      <c r="L85" s="44">
        <f t="shared" si="70"/>
        <v>1650</v>
      </c>
      <c r="M85" s="44">
        <f t="shared" si="71"/>
        <v>68475</v>
      </c>
      <c r="N85" s="53">
        <f t="shared" si="72"/>
        <v>76275</v>
      </c>
      <c r="O85" s="53">
        <f t="shared" si="73"/>
        <v>79402.274999999994</v>
      </c>
      <c r="P85" s="53">
        <f t="shared" si="74"/>
        <v>264.67424999999997</v>
      </c>
      <c r="Q85" s="44">
        <f t="shared" si="75"/>
        <v>83372.388749999998</v>
      </c>
      <c r="R85" s="55">
        <f t="shared" si="76"/>
        <v>277.9079625</v>
      </c>
    </row>
    <row r="86" spans="1:18" ht="15.75" x14ac:dyDescent="0.3">
      <c r="A86" s="51">
        <v>5</v>
      </c>
      <c r="B86" s="55">
        <v>10</v>
      </c>
      <c r="C86" s="44">
        <f t="shared" si="68"/>
        <v>9.1259999999999994</v>
      </c>
      <c r="D86" s="55">
        <v>180</v>
      </c>
      <c r="E86" s="55">
        <v>10</v>
      </c>
      <c r="F86" s="13">
        <v>4</v>
      </c>
      <c r="G86" s="52">
        <f t="shared" si="69"/>
        <v>29.7</v>
      </c>
      <c r="H86" s="55">
        <v>31.6</v>
      </c>
      <c r="I86" s="13">
        <v>4050</v>
      </c>
      <c r="J86" s="53">
        <f t="shared" si="66"/>
        <v>120285</v>
      </c>
      <c r="K86" s="54">
        <f t="shared" si="67"/>
        <v>9480</v>
      </c>
      <c r="L86" s="44">
        <f t="shared" si="70"/>
        <v>2970</v>
      </c>
      <c r="M86" s="44">
        <f t="shared" si="71"/>
        <v>123255</v>
      </c>
      <c r="N86" s="53">
        <f t="shared" si="72"/>
        <v>132735</v>
      </c>
      <c r="O86" s="53">
        <f t="shared" si="73"/>
        <v>138177.13500000001</v>
      </c>
      <c r="P86" s="53">
        <f t="shared" si="74"/>
        <v>460.59045000000003</v>
      </c>
      <c r="Q86" s="44">
        <f t="shared" si="75"/>
        <v>145085.99175000002</v>
      </c>
      <c r="R86" s="55">
        <f t="shared" si="76"/>
        <v>483.61997250000007</v>
      </c>
    </row>
    <row r="87" spans="1:18" ht="15.75" x14ac:dyDescent="0.3">
      <c r="A87" s="51">
        <v>6</v>
      </c>
      <c r="B87" s="55">
        <v>16</v>
      </c>
      <c r="C87" s="44">
        <f t="shared" si="68"/>
        <v>14.196</v>
      </c>
      <c r="D87" s="55">
        <v>280</v>
      </c>
      <c r="E87" s="55">
        <v>10</v>
      </c>
      <c r="F87" s="13">
        <v>4</v>
      </c>
      <c r="G87" s="52">
        <f t="shared" si="69"/>
        <v>46.2</v>
      </c>
      <c r="H87" s="55">
        <v>41</v>
      </c>
      <c r="I87" s="13">
        <v>4050</v>
      </c>
      <c r="J87" s="53">
        <f t="shared" si="66"/>
        <v>187110</v>
      </c>
      <c r="K87" s="54">
        <f t="shared" si="67"/>
        <v>12300</v>
      </c>
      <c r="L87" s="44">
        <f t="shared" si="70"/>
        <v>4620</v>
      </c>
      <c r="M87" s="44">
        <f t="shared" si="71"/>
        <v>191730</v>
      </c>
      <c r="N87" s="53">
        <f t="shared" si="72"/>
        <v>204030</v>
      </c>
      <c r="O87" s="53">
        <f t="shared" si="73"/>
        <v>212395.23</v>
      </c>
      <c r="P87" s="53">
        <f t="shared" si="74"/>
        <v>707.98410000000001</v>
      </c>
      <c r="Q87" s="44">
        <f t="shared" si="75"/>
        <v>223014.9915</v>
      </c>
      <c r="R87" s="55">
        <f t="shared" si="76"/>
        <v>743.38330500000006</v>
      </c>
    </row>
    <row r="88" spans="1:18" ht="15.75" x14ac:dyDescent="0.3">
      <c r="A88" s="51">
        <v>7</v>
      </c>
      <c r="B88" s="55">
        <v>25</v>
      </c>
      <c r="C88" s="44">
        <f t="shared" si="68"/>
        <v>19.874400000000001</v>
      </c>
      <c r="D88" s="55">
        <v>200</v>
      </c>
      <c r="E88" s="55">
        <v>14</v>
      </c>
      <c r="F88" s="13">
        <v>4</v>
      </c>
      <c r="G88" s="52">
        <f t="shared" si="69"/>
        <v>64.680000000000007</v>
      </c>
      <c r="H88" s="55"/>
      <c r="I88" s="13">
        <v>4050</v>
      </c>
      <c r="J88" s="53">
        <f t="shared" si="66"/>
        <v>261954.00000000003</v>
      </c>
      <c r="K88" s="54">
        <f t="shared" si="67"/>
        <v>0</v>
      </c>
      <c r="L88" s="44">
        <f t="shared" si="70"/>
        <v>6468.0000000000009</v>
      </c>
      <c r="M88" s="44">
        <f t="shared" si="71"/>
        <v>268422.00000000006</v>
      </c>
      <c r="N88" s="53">
        <f t="shared" si="72"/>
        <v>268422.00000000006</v>
      </c>
      <c r="O88" s="53">
        <f t="shared" si="73"/>
        <v>279427.30200000008</v>
      </c>
      <c r="P88" s="53">
        <f t="shared" si="74"/>
        <v>931.42434000000026</v>
      </c>
      <c r="Q88" s="44">
        <f t="shared" si="75"/>
        <v>293398.66710000008</v>
      </c>
      <c r="R88" s="55">
        <f t="shared" si="76"/>
        <v>977.9955570000003</v>
      </c>
    </row>
    <row r="89" spans="1:18" ht="15.75" x14ac:dyDescent="0.3">
      <c r="A89" s="51">
        <v>8</v>
      </c>
      <c r="B89" s="55">
        <v>35</v>
      </c>
      <c r="C89" s="44">
        <f t="shared" si="68"/>
        <v>29.811599999999999</v>
      </c>
      <c r="D89" s="55">
        <v>300</v>
      </c>
      <c r="E89" s="55">
        <v>14</v>
      </c>
      <c r="F89" s="13">
        <v>4</v>
      </c>
      <c r="G89" s="52">
        <f t="shared" si="69"/>
        <v>97.02</v>
      </c>
      <c r="H89" s="55"/>
      <c r="I89" s="13">
        <v>4050</v>
      </c>
      <c r="J89" s="53">
        <f t="shared" si="66"/>
        <v>392931</v>
      </c>
      <c r="K89" s="54">
        <f t="shared" si="67"/>
        <v>0</v>
      </c>
      <c r="L89" s="44">
        <f t="shared" si="70"/>
        <v>9702</v>
      </c>
      <c r="M89" s="44">
        <f t="shared" si="71"/>
        <v>402633</v>
      </c>
      <c r="N89" s="53">
        <f t="shared" si="72"/>
        <v>402633</v>
      </c>
      <c r="O89" s="53">
        <f t="shared" si="73"/>
        <v>419140.95299999998</v>
      </c>
      <c r="P89" s="53">
        <f t="shared" si="74"/>
        <v>1397.13651</v>
      </c>
      <c r="Q89" s="44">
        <f t="shared" si="75"/>
        <v>440098.00065</v>
      </c>
      <c r="R89" s="55">
        <f t="shared" si="76"/>
        <v>1466.9933355000001</v>
      </c>
    </row>
    <row r="90" spans="1:18" ht="15.75" x14ac:dyDescent="0.3">
      <c r="A90" s="51">
        <v>9</v>
      </c>
      <c r="B90" s="55">
        <v>50</v>
      </c>
      <c r="C90" s="44">
        <f t="shared" si="68"/>
        <v>39.748800000000003</v>
      </c>
      <c r="D90" s="55">
        <v>400</v>
      </c>
      <c r="E90" s="55">
        <v>14</v>
      </c>
      <c r="F90" s="13">
        <v>4</v>
      </c>
      <c r="G90" s="52">
        <f t="shared" si="69"/>
        <v>129.36000000000001</v>
      </c>
      <c r="H90" s="55"/>
      <c r="I90" s="13">
        <v>4050</v>
      </c>
      <c r="J90" s="53">
        <f t="shared" si="66"/>
        <v>523908.00000000006</v>
      </c>
      <c r="K90" s="54">
        <f t="shared" si="67"/>
        <v>0</v>
      </c>
      <c r="L90" s="44">
        <f t="shared" si="70"/>
        <v>12936.000000000002</v>
      </c>
      <c r="M90" s="44">
        <f t="shared" si="71"/>
        <v>536844.00000000012</v>
      </c>
      <c r="N90" s="53">
        <f t="shared" si="72"/>
        <v>536844.00000000012</v>
      </c>
      <c r="O90" s="53">
        <f t="shared" si="73"/>
        <v>558854.60400000017</v>
      </c>
      <c r="P90" s="53">
        <f t="shared" si="74"/>
        <v>1862.8486800000005</v>
      </c>
      <c r="Q90" s="44">
        <f t="shared" si="75"/>
        <v>586797.33420000016</v>
      </c>
      <c r="R90" s="55">
        <f t="shared" si="76"/>
        <v>1955.9911140000006</v>
      </c>
    </row>
    <row r="91" spans="1:18" ht="15.75" x14ac:dyDescent="0.3">
      <c r="A91" s="51">
        <v>10</v>
      </c>
      <c r="B91" s="55">
        <v>70</v>
      </c>
      <c r="C91" s="44">
        <f t="shared" si="68"/>
        <v>59.623199999999997</v>
      </c>
      <c r="D91" s="55">
        <v>600</v>
      </c>
      <c r="E91" s="55">
        <v>14</v>
      </c>
      <c r="F91" s="13">
        <v>4</v>
      </c>
      <c r="G91" s="52">
        <f t="shared" si="69"/>
        <v>194.04</v>
      </c>
      <c r="H91" s="55"/>
      <c r="I91" s="13">
        <v>4050</v>
      </c>
      <c r="J91" s="53">
        <f t="shared" si="66"/>
        <v>785862</v>
      </c>
      <c r="K91" s="54">
        <f t="shared" si="67"/>
        <v>0</v>
      </c>
      <c r="L91" s="44">
        <f t="shared" si="70"/>
        <v>19404</v>
      </c>
      <c r="M91" s="44">
        <f t="shared" si="71"/>
        <v>805266</v>
      </c>
      <c r="N91" s="53">
        <f t="shared" si="72"/>
        <v>805266</v>
      </c>
      <c r="O91" s="53">
        <f t="shared" si="73"/>
        <v>838281.90599999996</v>
      </c>
      <c r="P91" s="53">
        <f t="shared" si="74"/>
        <v>2794.2730200000001</v>
      </c>
      <c r="Q91" s="44">
        <f t="shared" si="75"/>
        <v>880196.0013</v>
      </c>
      <c r="R91" s="55">
        <f t="shared" si="76"/>
        <v>2933.9866710000001</v>
      </c>
    </row>
    <row r="92" spans="1:18" ht="15.75" x14ac:dyDescent="0.3">
      <c r="A92" s="51">
        <v>11</v>
      </c>
      <c r="B92" s="55">
        <v>95</v>
      </c>
      <c r="C92" s="44">
        <f t="shared" si="68"/>
        <v>79.497600000000006</v>
      </c>
      <c r="D92" s="55">
        <v>800</v>
      </c>
      <c r="E92" s="55">
        <v>14</v>
      </c>
      <c r="F92" s="13">
        <v>4</v>
      </c>
      <c r="G92" s="52">
        <f t="shared" si="69"/>
        <v>258.72000000000003</v>
      </c>
      <c r="H92" s="55"/>
      <c r="I92" s="13">
        <v>4050</v>
      </c>
      <c r="J92" s="53">
        <f t="shared" si="66"/>
        <v>1047816.0000000001</v>
      </c>
      <c r="K92" s="54">
        <f t="shared" si="67"/>
        <v>0</v>
      </c>
      <c r="L92" s="44">
        <f t="shared" si="70"/>
        <v>25872.000000000004</v>
      </c>
      <c r="M92" s="44">
        <f t="shared" si="71"/>
        <v>1073688.0000000002</v>
      </c>
      <c r="N92" s="53">
        <f t="shared" si="72"/>
        <v>1073688.0000000002</v>
      </c>
      <c r="O92" s="53">
        <f t="shared" si="73"/>
        <v>1117709.2080000003</v>
      </c>
      <c r="P92" s="53">
        <f t="shared" si="74"/>
        <v>3725.697360000001</v>
      </c>
      <c r="Q92" s="44">
        <f t="shared" si="75"/>
        <v>1173594.6684000003</v>
      </c>
      <c r="R92" s="55">
        <f t="shared" si="76"/>
        <v>3911.9822280000012</v>
      </c>
    </row>
    <row r="93" spans="1:18" ht="31.5" x14ac:dyDescent="0.5">
      <c r="A93" s="66" t="s">
        <v>34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</row>
    <row r="94" spans="1:18" ht="40.5" x14ac:dyDescent="0.3">
      <c r="A94" s="47" t="s">
        <v>25</v>
      </c>
      <c r="B94" s="48" t="s">
        <v>1</v>
      </c>
      <c r="C94" s="48" t="s">
        <v>26</v>
      </c>
      <c r="D94" s="48" t="s">
        <v>7</v>
      </c>
      <c r="E94" s="48" t="s">
        <v>2</v>
      </c>
      <c r="F94" s="48" t="s">
        <v>8</v>
      </c>
      <c r="G94" s="49" t="s">
        <v>36</v>
      </c>
      <c r="H94" s="48" t="s">
        <v>10</v>
      </c>
      <c r="I94" s="48" t="s">
        <v>9</v>
      </c>
      <c r="J94" s="48" t="s">
        <v>12</v>
      </c>
      <c r="K94" s="48" t="s">
        <v>35</v>
      </c>
      <c r="L94" s="46" t="s">
        <v>14</v>
      </c>
      <c r="M94" s="46" t="s">
        <v>37</v>
      </c>
      <c r="N94" s="48" t="s">
        <v>16</v>
      </c>
      <c r="O94" s="48" t="s">
        <v>4</v>
      </c>
      <c r="P94" s="48" t="s">
        <v>17</v>
      </c>
      <c r="Q94" s="48" t="s">
        <v>5</v>
      </c>
      <c r="R94" s="48" t="s">
        <v>18</v>
      </c>
    </row>
    <row r="95" spans="1:18" x14ac:dyDescent="0.25">
      <c r="A95" s="51">
        <v>1</v>
      </c>
      <c r="B95" s="13">
        <v>1.5</v>
      </c>
      <c r="C95" s="45">
        <f>SUM(E95*E95*D95*507/1000000)</f>
        <v>0.95062500000000005</v>
      </c>
      <c r="D95" s="55">
        <v>3</v>
      </c>
      <c r="E95" s="55">
        <v>25</v>
      </c>
      <c r="F95" s="55">
        <v>4</v>
      </c>
      <c r="G95" s="45">
        <f>SUM(E95*E95*D95*F95*330/800000)</f>
        <v>3.09375</v>
      </c>
      <c r="H95" s="56">
        <v>13.2</v>
      </c>
      <c r="I95" s="57">
        <v>4050</v>
      </c>
      <c r="J95" s="45">
        <f t="shared" ref="J95:J105" si="77">SUM(G95*I95)</f>
        <v>12529.6875</v>
      </c>
      <c r="K95" s="58">
        <f t="shared" ref="K95:K105" si="78">SUM(H95*300)</f>
        <v>3960</v>
      </c>
      <c r="L95" s="45">
        <f>SUM(G95*50)</f>
        <v>154.6875</v>
      </c>
      <c r="M95" s="45">
        <f>SUM(J95+L95)</f>
        <v>12684.375</v>
      </c>
      <c r="N95" s="45">
        <f>SUM(M95+K95)</f>
        <v>16644.375</v>
      </c>
      <c r="O95" s="45">
        <f>N95+(N95*4.1%)</f>
        <v>17326.794375000001</v>
      </c>
      <c r="P95" s="45">
        <f>SUM(O95/300)</f>
        <v>57.755981250000005</v>
      </c>
      <c r="Q95" s="45">
        <f>O95+(O95*5%)</f>
        <v>18193.134093750003</v>
      </c>
      <c r="R95" s="55">
        <f>SUM(Q95/300)</f>
        <v>60.643780312500006</v>
      </c>
    </row>
    <row r="96" spans="1:18" x14ac:dyDescent="0.25">
      <c r="A96" s="51">
        <v>2</v>
      </c>
      <c r="B96" s="13">
        <v>2.5</v>
      </c>
      <c r="C96" s="45">
        <f t="shared" ref="C96:C105" si="79">SUM(E96*E96*D96*507/1000000)</f>
        <v>2.2181250000000001</v>
      </c>
      <c r="D96" s="55">
        <v>7</v>
      </c>
      <c r="E96" s="55">
        <v>25</v>
      </c>
      <c r="F96" s="55">
        <v>4</v>
      </c>
      <c r="G96" s="45">
        <f t="shared" ref="G96:G105" si="80">SUM(E96*E96*D96*F96*330/800000)</f>
        <v>7.21875</v>
      </c>
      <c r="H96" s="56">
        <v>16.399999999999999</v>
      </c>
      <c r="I96" s="57">
        <v>4050</v>
      </c>
      <c r="J96" s="45">
        <f t="shared" si="77"/>
        <v>29235.9375</v>
      </c>
      <c r="K96" s="58">
        <f t="shared" si="78"/>
        <v>4920</v>
      </c>
      <c r="L96" s="45">
        <f t="shared" ref="L96:L105" si="81">SUM(G96*50)</f>
        <v>360.9375</v>
      </c>
      <c r="M96" s="45">
        <f t="shared" ref="M96:M105" si="82">SUM(J96+L96)</f>
        <v>29596.875</v>
      </c>
      <c r="N96" s="45">
        <f t="shared" ref="N96:N105" si="83">SUM(M96+K96)</f>
        <v>34516.875</v>
      </c>
      <c r="O96" s="45">
        <f t="shared" ref="O96:O105" si="84">N96+(N96*4.1%)</f>
        <v>35932.066874999997</v>
      </c>
      <c r="P96" s="45">
        <f t="shared" ref="P96:P105" si="85">SUM(O96/300)</f>
        <v>119.77355624999998</v>
      </c>
      <c r="Q96" s="45">
        <f t="shared" ref="Q96:Q105" si="86">O96+(O96*5%)</f>
        <v>37728.670218749998</v>
      </c>
      <c r="R96" s="55">
        <f t="shared" ref="R96:R105" si="87">SUM(Q96/300)</f>
        <v>125.7622340625</v>
      </c>
    </row>
    <row r="97" spans="1:18" x14ac:dyDescent="0.25">
      <c r="A97" s="51">
        <v>3</v>
      </c>
      <c r="B97" s="13">
        <v>4</v>
      </c>
      <c r="C97" s="45">
        <f t="shared" si="79"/>
        <v>3.1941000000000002</v>
      </c>
      <c r="D97" s="55">
        <v>7</v>
      </c>
      <c r="E97" s="55">
        <v>30</v>
      </c>
      <c r="F97" s="55">
        <v>4</v>
      </c>
      <c r="G97" s="45">
        <f t="shared" si="80"/>
        <v>10.395</v>
      </c>
      <c r="H97" s="56">
        <v>22.5</v>
      </c>
      <c r="I97" s="57">
        <v>4050</v>
      </c>
      <c r="J97" s="45">
        <f t="shared" si="77"/>
        <v>42099.75</v>
      </c>
      <c r="K97" s="58">
        <f t="shared" si="78"/>
        <v>6750</v>
      </c>
      <c r="L97" s="45">
        <f t="shared" si="81"/>
        <v>519.75</v>
      </c>
      <c r="M97" s="45">
        <f t="shared" si="82"/>
        <v>42619.5</v>
      </c>
      <c r="N97" s="45">
        <f t="shared" si="83"/>
        <v>49369.5</v>
      </c>
      <c r="O97" s="45">
        <f t="shared" si="84"/>
        <v>51393.6495</v>
      </c>
      <c r="P97" s="45">
        <f t="shared" si="85"/>
        <v>171.31216499999999</v>
      </c>
      <c r="Q97" s="45">
        <f t="shared" si="86"/>
        <v>53963.331975000001</v>
      </c>
      <c r="R97" s="55">
        <f t="shared" si="87"/>
        <v>179.87777324999999</v>
      </c>
    </row>
    <row r="98" spans="1:18" x14ac:dyDescent="0.25">
      <c r="A98" s="51">
        <v>4</v>
      </c>
      <c r="B98" s="13">
        <v>6</v>
      </c>
      <c r="C98" s="45">
        <f t="shared" si="79"/>
        <v>5.1247559999999996</v>
      </c>
      <c r="D98" s="55">
        <v>7</v>
      </c>
      <c r="E98" s="55">
        <v>38</v>
      </c>
      <c r="F98" s="55">
        <v>4</v>
      </c>
      <c r="G98" s="45">
        <f t="shared" si="80"/>
        <v>16.6782</v>
      </c>
      <c r="H98" s="56">
        <v>26</v>
      </c>
      <c r="I98" s="57">
        <v>4050</v>
      </c>
      <c r="J98" s="45">
        <f t="shared" si="77"/>
        <v>67546.710000000006</v>
      </c>
      <c r="K98" s="58">
        <f t="shared" si="78"/>
        <v>7800</v>
      </c>
      <c r="L98" s="45">
        <f t="shared" si="81"/>
        <v>833.91</v>
      </c>
      <c r="M98" s="45">
        <f t="shared" si="82"/>
        <v>68380.62000000001</v>
      </c>
      <c r="N98" s="45">
        <f t="shared" si="83"/>
        <v>76180.62000000001</v>
      </c>
      <c r="O98" s="45">
        <f t="shared" si="84"/>
        <v>79304.025420000005</v>
      </c>
      <c r="P98" s="45">
        <f t="shared" si="85"/>
        <v>264.34675140000002</v>
      </c>
      <c r="Q98" s="45">
        <f t="shared" si="86"/>
        <v>83269.226691000003</v>
      </c>
      <c r="R98" s="55">
        <f t="shared" si="87"/>
        <v>277.56408897</v>
      </c>
    </row>
    <row r="99" spans="1:18" x14ac:dyDescent="0.25">
      <c r="A99" s="51">
        <v>5</v>
      </c>
      <c r="B99" s="55">
        <v>10</v>
      </c>
      <c r="C99" s="45">
        <f t="shared" si="79"/>
        <v>7.509684</v>
      </c>
      <c r="D99" s="55">
        <v>7</v>
      </c>
      <c r="E99" s="55">
        <v>46</v>
      </c>
      <c r="F99" s="55">
        <v>4</v>
      </c>
      <c r="G99" s="45">
        <f t="shared" si="80"/>
        <v>24.439800000000002</v>
      </c>
      <c r="H99" s="55">
        <v>31.6</v>
      </c>
      <c r="I99" s="57">
        <v>4050</v>
      </c>
      <c r="J99" s="45">
        <f t="shared" si="77"/>
        <v>98981.19</v>
      </c>
      <c r="K99" s="58">
        <f t="shared" si="78"/>
        <v>9480</v>
      </c>
      <c r="L99" s="45">
        <f t="shared" si="81"/>
        <v>1221.99</v>
      </c>
      <c r="M99" s="45">
        <f t="shared" si="82"/>
        <v>100203.18000000001</v>
      </c>
      <c r="N99" s="45">
        <f t="shared" si="83"/>
        <v>109683.18000000001</v>
      </c>
      <c r="O99" s="45">
        <f t="shared" si="84"/>
        <v>114180.19038000001</v>
      </c>
      <c r="P99" s="45">
        <f t="shared" si="85"/>
        <v>380.60063460000003</v>
      </c>
      <c r="Q99" s="45">
        <f t="shared" si="86"/>
        <v>119889.19989900001</v>
      </c>
      <c r="R99" s="55">
        <f t="shared" si="87"/>
        <v>399.63066633000005</v>
      </c>
    </row>
    <row r="100" spans="1:18" x14ac:dyDescent="0.25">
      <c r="A100" s="51">
        <v>6</v>
      </c>
      <c r="B100" s="55">
        <v>16</v>
      </c>
      <c r="C100" s="45">
        <f t="shared" si="79"/>
        <v>12.776400000000001</v>
      </c>
      <c r="D100" s="55">
        <v>7</v>
      </c>
      <c r="E100" s="55">
        <v>60</v>
      </c>
      <c r="F100" s="55">
        <v>4</v>
      </c>
      <c r="G100" s="45">
        <f t="shared" si="80"/>
        <v>41.58</v>
      </c>
      <c r="H100" s="55">
        <v>41</v>
      </c>
      <c r="I100" s="57">
        <v>4050</v>
      </c>
      <c r="J100" s="45">
        <f t="shared" si="77"/>
        <v>168399</v>
      </c>
      <c r="K100" s="58">
        <f t="shared" si="78"/>
        <v>12300</v>
      </c>
      <c r="L100" s="45">
        <f t="shared" si="81"/>
        <v>2079</v>
      </c>
      <c r="M100" s="45">
        <f t="shared" si="82"/>
        <v>170478</v>
      </c>
      <c r="N100" s="45">
        <f t="shared" si="83"/>
        <v>182778</v>
      </c>
      <c r="O100" s="45">
        <f t="shared" si="84"/>
        <v>190271.89799999999</v>
      </c>
      <c r="P100" s="45">
        <f t="shared" si="85"/>
        <v>634.23965999999996</v>
      </c>
      <c r="Q100" s="45">
        <f t="shared" si="86"/>
        <v>199785.49289999998</v>
      </c>
      <c r="R100" s="55">
        <f t="shared" si="87"/>
        <v>665.95164299999999</v>
      </c>
    </row>
    <row r="101" spans="1:18" x14ac:dyDescent="0.25">
      <c r="A101" s="51">
        <v>7</v>
      </c>
      <c r="B101" s="55">
        <v>25</v>
      </c>
      <c r="C101" s="45">
        <f t="shared" si="79"/>
        <v>24.0825</v>
      </c>
      <c r="D101" s="55">
        <v>19</v>
      </c>
      <c r="E101" s="55">
        <v>50</v>
      </c>
      <c r="F101" s="55">
        <v>4</v>
      </c>
      <c r="G101" s="45">
        <f t="shared" si="80"/>
        <v>78.375</v>
      </c>
      <c r="H101" s="55"/>
      <c r="I101" s="57">
        <v>4050</v>
      </c>
      <c r="J101" s="45">
        <f t="shared" si="77"/>
        <v>317418.75</v>
      </c>
      <c r="K101" s="58">
        <f t="shared" si="78"/>
        <v>0</v>
      </c>
      <c r="L101" s="45">
        <f t="shared" si="81"/>
        <v>3918.75</v>
      </c>
      <c r="M101" s="45">
        <f t="shared" si="82"/>
        <v>321337.5</v>
      </c>
      <c r="N101" s="45">
        <f t="shared" si="83"/>
        <v>321337.5</v>
      </c>
      <c r="O101" s="45">
        <f t="shared" si="84"/>
        <v>334512.33750000002</v>
      </c>
      <c r="P101" s="45">
        <f t="shared" si="85"/>
        <v>1115.041125</v>
      </c>
      <c r="Q101" s="45">
        <f t="shared" si="86"/>
        <v>351237.95437500003</v>
      </c>
      <c r="R101" s="55">
        <f t="shared" si="87"/>
        <v>1170.7931812500001</v>
      </c>
    </row>
    <row r="102" spans="1:18" x14ac:dyDescent="0.25">
      <c r="A102" s="51">
        <v>8</v>
      </c>
      <c r="B102" s="55">
        <v>35</v>
      </c>
      <c r="C102" s="45">
        <f t="shared" si="79"/>
        <v>32.405411999999998</v>
      </c>
      <c r="D102" s="55">
        <v>19</v>
      </c>
      <c r="E102" s="55">
        <v>58</v>
      </c>
      <c r="F102" s="55">
        <v>4</v>
      </c>
      <c r="G102" s="45">
        <f t="shared" si="80"/>
        <v>105.4614</v>
      </c>
      <c r="H102" s="55"/>
      <c r="I102" s="57">
        <v>4050</v>
      </c>
      <c r="J102" s="45">
        <f t="shared" si="77"/>
        <v>427118.67</v>
      </c>
      <c r="K102" s="58">
        <f t="shared" si="78"/>
        <v>0</v>
      </c>
      <c r="L102" s="45">
        <f t="shared" si="81"/>
        <v>5273.07</v>
      </c>
      <c r="M102" s="45">
        <f t="shared" si="82"/>
        <v>432391.74</v>
      </c>
      <c r="N102" s="45">
        <f t="shared" si="83"/>
        <v>432391.74</v>
      </c>
      <c r="O102" s="45">
        <f t="shared" si="84"/>
        <v>450119.80134000001</v>
      </c>
      <c r="P102" s="45">
        <f t="shared" si="85"/>
        <v>1500.3993378</v>
      </c>
      <c r="Q102" s="45">
        <f t="shared" si="86"/>
        <v>472625.79140699998</v>
      </c>
      <c r="R102" s="55">
        <f t="shared" si="87"/>
        <v>1575.41930469</v>
      </c>
    </row>
    <row r="103" spans="1:18" x14ac:dyDescent="0.25">
      <c r="A103" s="51">
        <v>9</v>
      </c>
      <c r="B103" s="55">
        <v>50</v>
      </c>
      <c r="C103" s="45">
        <f t="shared" si="79"/>
        <v>44.542991999999998</v>
      </c>
      <c r="D103" s="55">
        <v>19</v>
      </c>
      <c r="E103" s="55">
        <v>68</v>
      </c>
      <c r="F103" s="55">
        <v>4</v>
      </c>
      <c r="G103" s="45">
        <f t="shared" si="80"/>
        <v>144.9624</v>
      </c>
      <c r="H103" s="55"/>
      <c r="I103" s="57">
        <v>4050</v>
      </c>
      <c r="J103" s="45">
        <f t="shared" si="77"/>
        <v>587097.72</v>
      </c>
      <c r="K103" s="58">
        <f t="shared" si="78"/>
        <v>0</v>
      </c>
      <c r="L103" s="45">
        <f t="shared" si="81"/>
        <v>7248.12</v>
      </c>
      <c r="M103" s="45">
        <f t="shared" si="82"/>
        <v>594345.84</v>
      </c>
      <c r="N103" s="45">
        <f t="shared" si="83"/>
        <v>594345.84</v>
      </c>
      <c r="O103" s="45">
        <f t="shared" si="84"/>
        <v>618714.01943999995</v>
      </c>
      <c r="P103" s="45">
        <f t="shared" si="85"/>
        <v>2062.3800647999997</v>
      </c>
      <c r="Q103" s="45">
        <f t="shared" si="86"/>
        <v>649649.72041199997</v>
      </c>
      <c r="R103" s="55">
        <f t="shared" si="87"/>
        <v>2165.4990680400001</v>
      </c>
    </row>
    <row r="104" spans="1:18" x14ac:dyDescent="0.25">
      <c r="A104" s="51">
        <v>10</v>
      </c>
      <c r="B104" s="55">
        <v>70</v>
      </c>
      <c r="C104" s="45">
        <f t="shared" si="79"/>
        <v>58.406399999999998</v>
      </c>
      <c r="D104" s="55">
        <v>18</v>
      </c>
      <c r="E104" s="55">
        <v>80</v>
      </c>
      <c r="F104" s="55">
        <v>4</v>
      </c>
      <c r="G104" s="45">
        <f t="shared" si="80"/>
        <v>190.08</v>
      </c>
      <c r="H104" s="55"/>
      <c r="I104" s="57">
        <v>4050</v>
      </c>
      <c r="J104" s="45">
        <f t="shared" si="77"/>
        <v>769824</v>
      </c>
      <c r="K104" s="58">
        <f t="shared" si="78"/>
        <v>0</v>
      </c>
      <c r="L104" s="45">
        <f t="shared" si="81"/>
        <v>9504</v>
      </c>
      <c r="M104" s="45">
        <f t="shared" si="82"/>
        <v>779328</v>
      </c>
      <c r="N104" s="45">
        <f t="shared" si="83"/>
        <v>779328</v>
      </c>
      <c r="O104" s="45">
        <f t="shared" si="84"/>
        <v>811280.44799999997</v>
      </c>
      <c r="P104" s="45">
        <f t="shared" si="85"/>
        <v>2704.2681600000001</v>
      </c>
      <c r="Q104" s="45">
        <f t="shared" si="86"/>
        <v>851844.47039999999</v>
      </c>
      <c r="R104" s="55">
        <f t="shared" si="87"/>
        <v>2839.4815680000002</v>
      </c>
    </row>
    <row r="105" spans="1:18" x14ac:dyDescent="0.25">
      <c r="A105" s="51">
        <v>11</v>
      </c>
      <c r="B105" s="55">
        <v>95</v>
      </c>
      <c r="C105" s="45">
        <f t="shared" si="79"/>
        <v>86.741615999999993</v>
      </c>
      <c r="D105" s="55">
        <v>37</v>
      </c>
      <c r="E105" s="55">
        <v>68</v>
      </c>
      <c r="F105" s="55">
        <v>4</v>
      </c>
      <c r="G105" s="45">
        <f t="shared" si="80"/>
        <v>282.29520000000002</v>
      </c>
      <c r="H105" s="55"/>
      <c r="I105" s="57">
        <v>4050</v>
      </c>
      <c r="J105" s="45">
        <f t="shared" si="77"/>
        <v>1143295.56</v>
      </c>
      <c r="K105" s="58">
        <f t="shared" si="78"/>
        <v>0</v>
      </c>
      <c r="L105" s="45">
        <f t="shared" si="81"/>
        <v>14114.760000000002</v>
      </c>
      <c r="M105" s="45">
        <f t="shared" si="82"/>
        <v>1157410.32</v>
      </c>
      <c r="N105" s="45">
        <f t="shared" si="83"/>
        <v>1157410.32</v>
      </c>
      <c r="O105" s="45">
        <f t="shared" si="84"/>
        <v>1204864.1431200001</v>
      </c>
      <c r="P105" s="45">
        <f t="shared" si="85"/>
        <v>4016.2138104000005</v>
      </c>
      <c r="Q105" s="45">
        <f t="shared" si="86"/>
        <v>1265107.3502760001</v>
      </c>
      <c r="R105" s="55">
        <f t="shared" si="87"/>
        <v>4217.0245009200007</v>
      </c>
    </row>
  </sheetData>
  <mergeCells count="8">
    <mergeCell ref="A67:R67"/>
    <mergeCell ref="A80:R80"/>
    <mergeCell ref="A93:R93"/>
    <mergeCell ref="A1:R1"/>
    <mergeCell ref="A15:R15"/>
    <mergeCell ref="A28:R28"/>
    <mergeCell ref="A41:R41"/>
    <mergeCell ref="A54:R54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sqref="A1:R1"/>
    </sheetView>
  </sheetViews>
  <sheetFormatPr defaultRowHeight="15" x14ac:dyDescent="0.25"/>
  <cols>
    <col min="1" max="1" width="4.7109375" style="34" bestFit="1" customWidth="1"/>
    <col min="2" max="2" width="4.42578125" style="38" bestFit="1" customWidth="1"/>
    <col min="3" max="3" width="5.85546875" style="34" bestFit="1" customWidth="1"/>
    <col min="4" max="4" width="6.28515625" style="34" bestFit="1" customWidth="1"/>
    <col min="5" max="6" width="5" style="34" bestFit="1" customWidth="1"/>
    <col min="7" max="7" width="7.28515625" style="34" bestFit="1" customWidth="1"/>
    <col min="8" max="8" width="5.42578125" style="34" bestFit="1" customWidth="1"/>
    <col min="9" max="9" width="9.140625" style="34" bestFit="1" customWidth="1"/>
    <col min="10" max="10" width="9.42578125" style="34" bestFit="1" customWidth="1"/>
    <col min="11" max="11" width="7.42578125" style="34" bestFit="1" customWidth="1"/>
    <col min="12" max="12" width="8.28515625" style="34" bestFit="1" customWidth="1"/>
    <col min="13" max="13" width="11.42578125" style="34" customWidth="1"/>
    <col min="14" max="14" width="9.85546875" style="34" bestFit="1" customWidth="1"/>
    <col min="15" max="15" width="9.42578125" style="34" bestFit="1" customWidth="1"/>
    <col min="16" max="16" width="9.140625" style="34" bestFit="1" customWidth="1"/>
    <col min="17" max="17" width="9.42578125" style="34" bestFit="1" customWidth="1"/>
    <col min="18" max="18" width="12" style="34" bestFit="1" customWidth="1"/>
    <col min="19" max="16384" width="9.140625" style="34"/>
  </cols>
  <sheetData>
    <row r="1" spans="1:18" ht="26.25" x14ac:dyDescent="0.2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s="35" customFormat="1" ht="42.75" x14ac:dyDescent="0.3">
      <c r="A2" s="25" t="s">
        <v>19</v>
      </c>
      <c r="B2" s="26" t="s">
        <v>1</v>
      </c>
      <c r="C2" s="27" t="s">
        <v>6</v>
      </c>
      <c r="D2" s="26" t="s">
        <v>7</v>
      </c>
      <c r="E2" s="26" t="s">
        <v>2</v>
      </c>
      <c r="F2" s="26" t="s">
        <v>8</v>
      </c>
      <c r="G2" s="28" t="s">
        <v>11</v>
      </c>
      <c r="H2" s="26" t="s">
        <v>10</v>
      </c>
      <c r="I2" s="26" t="s">
        <v>9</v>
      </c>
      <c r="J2" s="26" t="s">
        <v>12</v>
      </c>
      <c r="K2" s="26" t="s">
        <v>13</v>
      </c>
      <c r="L2" s="27" t="s">
        <v>14</v>
      </c>
      <c r="M2" s="27" t="s">
        <v>15</v>
      </c>
      <c r="N2" s="26" t="s">
        <v>16</v>
      </c>
      <c r="O2" s="26" t="s">
        <v>4</v>
      </c>
      <c r="P2" s="26" t="s">
        <v>17</v>
      </c>
      <c r="Q2" s="26" t="s">
        <v>5</v>
      </c>
      <c r="R2" s="26" t="s">
        <v>18</v>
      </c>
    </row>
    <row r="3" spans="1:18" x14ac:dyDescent="0.25">
      <c r="A3" s="23">
        <v>1</v>
      </c>
      <c r="B3" s="32">
        <v>16</v>
      </c>
      <c r="C3" s="5">
        <f>SUM(E3*E3*D3*507/1000000)</f>
        <v>9.8834579999999992</v>
      </c>
      <c r="D3" s="32">
        <v>6</v>
      </c>
      <c r="E3" s="32">
        <v>57</v>
      </c>
      <c r="F3" s="32">
        <v>1</v>
      </c>
      <c r="G3" s="5">
        <f>SUM(E3*E3*D3*F3*330/800000)</f>
        <v>8.0412750000000006</v>
      </c>
      <c r="H3" s="6">
        <v>2.2999999999999998</v>
      </c>
      <c r="I3" s="7">
        <v>4080</v>
      </c>
      <c r="J3" s="5">
        <f>SUM(G3*I3)</f>
        <v>32808.402000000002</v>
      </c>
      <c r="K3" s="5">
        <f>SUM(H3*300)</f>
        <v>690</v>
      </c>
      <c r="L3" s="5">
        <f>SUM(G3*50)</f>
        <v>402.06375000000003</v>
      </c>
      <c r="M3" s="5">
        <f>SUM(J3+L3)</f>
        <v>33210.465750000003</v>
      </c>
      <c r="N3" s="5">
        <f>SUM(M3+K3)</f>
        <v>33900.465750000003</v>
      </c>
      <c r="O3" s="5">
        <f>N3+(N3*4.1%)</f>
        <v>35290.384845750006</v>
      </c>
      <c r="P3" s="5">
        <f>SUM(O3/300)</f>
        <v>117.63461615250002</v>
      </c>
      <c r="Q3" s="5">
        <f>O3+(O3*5%)</f>
        <v>37054.904088037503</v>
      </c>
      <c r="R3" s="18">
        <f>SUM(Q3/300)</f>
        <v>123.51634696012501</v>
      </c>
    </row>
    <row r="4" spans="1:18" x14ac:dyDescent="0.25">
      <c r="A4" s="23">
        <v>1</v>
      </c>
      <c r="B4" s="32">
        <v>16</v>
      </c>
      <c r="C4" s="5">
        <f t="shared" ref="C4" si="0">SUM(E4*E4*D4*507/1000000)</f>
        <v>1.8251999999999999</v>
      </c>
      <c r="D4" s="32">
        <v>1</v>
      </c>
      <c r="E4" s="32">
        <v>60</v>
      </c>
      <c r="F4" s="32">
        <v>1</v>
      </c>
      <c r="G4" s="5">
        <f t="shared" ref="G4" si="1">SUM(E4*E4*D4*F4*330/800000)</f>
        <v>1.4850000000000001</v>
      </c>
      <c r="H4" s="6">
        <v>2.2999999999999998</v>
      </c>
      <c r="I4" s="7">
        <v>4080</v>
      </c>
      <c r="J4" s="5">
        <f>SUM(G4*I4)</f>
        <v>6058.8</v>
      </c>
      <c r="K4" s="5">
        <f>SUM(H4*300)</f>
        <v>690</v>
      </c>
      <c r="L4" s="5">
        <f>SUM(G4*50)</f>
        <v>74.25</v>
      </c>
      <c r="M4" s="5">
        <f t="shared" ref="M4" si="2">SUM(J4+L4)</f>
        <v>6133.05</v>
      </c>
      <c r="N4" s="5">
        <f t="shared" ref="N4" si="3">SUM(M4+K4)</f>
        <v>6823.05</v>
      </c>
      <c r="O4" s="5">
        <f t="shared" ref="O4" si="4">N4+(N4*4.1%)</f>
        <v>7102.7950500000006</v>
      </c>
      <c r="P4" s="5">
        <f t="shared" ref="P4" si="5">SUM(O4/300)</f>
        <v>23.675983500000001</v>
      </c>
      <c r="Q4" s="5">
        <f t="shared" ref="Q4" si="6">O4+(O4*5%)</f>
        <v>7457.9348025000008</v>
      </c>
      <c r="R4" s="18">
        <f t="shared" ref="R4" si="7">SUM(Q4/300)</f>
        <v>24.859782675000002</v>
      </c>
    </row>
    <row r="5" spans="1:18" s="36" customFormat="1" ht="27" customHeight="1" x14ac:dyDescent="0.25">
      <c r="A5" s="24">
        <v>1</v>
      </c>
      <c r="B5" s="33">
        <v>16</v>
      </c>
      <c r="C5" s="22">
        <f>SUM(C3:C4)</f>
        <v>11.708658</v>
      </c>
      <c r="D5" s="69" t="s">
        <v>20</v>
      </c>
      <c r="E5" s="69"/>
      <c r="F5" s="33">
        <v>1</v>
      </c>
      <c r="G5" s="22">
        <f>SUM(G3:G4)</f>
        <v>9.526275</v>
      </c>
      <c r="H5" s="22">
        <f>SUM(H3:H4)</f>
        <v>4.5999999999999996</v>
      </c>
      <c r="I5" s="33">
        <v>4080</v>
      </c>
      <c r="J5" s="22">
        <f t="shared" ref="J5:Q5" si="8">SUM(J3:J4)</f>
        <v>38867.202000000005</v>
      </c>
      <c r="K5" s="22">
        <f t="shared" si="8"/>
        <v>1380</v>
      </c>
      <c r="L5" s="22">
        <f t="shared" si="8"/>
        <v>476.31375000000003</v>
      </c>
      <c r="M5" s="22">
        <f t="shared" si="8"/>
        <v>39343.515750000006</v>
      </c>
      <c r="N5" s="22">
        <f t="shared" si="8"/>
        <v>40723.515750000006</v>
      </c>
      <c r="O5" s="22">
        <f t="shared" si="8"/>
        <v>42393.179895750007</v>
      </c>
      <c r="P5" s="22">
        <f t="shared" si="8"/>
        <v>141.3105996525</v>
      </c>
      <c r="Q5" s="22">
        <f t="shared" si="8"/>
        <v>44512.838890537503</v>
      </c>
      <c r="R5" s="33">
        <f>SUM(R3:R4)</f>
        <v>148.37612963512501</v>
      </c>
    </row>
    <row r="7" spans="1:18" x14ac:dyDescent="0.25">
      <c r="A7" s="23">
        <v>2</v>
      </c>
      <c r="B7" s="32">
        <v>1.5</v>
      </c>
      <c r="C7" s="5">
        <f>SUM(E7*E7*D7*507/1000000)</f>
        <v>0.73920600000000003</v>
      </c>
      <c r="D7" s="32">
        <v>2</v>
      </c>
      <c r="E7" s="32">
        <v>27</v>
      </c>
      <c r="F7" s="32">
        <v>1</v>
      </c>
      <c r="G7" s="5">
        <f>SUM(E7*E7*D7*F7*330/800000)</f>
        <v>0.60142499999999999</v>
      </c>
      <c r="H7" s="6">
        <v>0.65</v>
      </c>
      <c r="I7" s="7">
        <v>4080</v>
      </c>
      <c r="J7" s="5">
        <f>SUM(G7*I7)</f>
        <v>2453.8139999999999</v>
      </c>
      <c r="K7" s="5">
        <f>SUM(H7*300)</f>
        <v>195</v>
      </c>
      <c r="L7" s="5">
        <f>SUM(G7*50)</f>
        <v>30.071249999999999</v>
      </c>
      <c r="M7" s="5">
        <f>SUM(J7+L7)</f>
        <v>2483.8852499999998</v>
      </c>
      <c r="N7" s="5">
        <f>SUM(M7+K7)</f>
        <v>2678.8852499999998</v>
      </c>
      <c r="O7" s="5">
        <f>N7+(N7*4.1%)</f>
        <v>2788.71954525</v>
      </c>
      <c r="P7" s="5">
        <f>SUM(O7/300)</f>
        <v>9.2957318175000001</v>
      </c>
      <c r="Q7" s="5">
        <f>O7+(O7*5%)</f>
        <v>2928.1555225124998</v>
      </c>
      <c r="R7" s="18">
        <f>SUM(Q7/300)</f>
        <v>9.760518408374999</v>
      </c>
    </row>
    <row r="8" spans="1:18" x14ac:dyDescent="0.25">
      <c r="A8" s="23">
        <v>2</v>
      </c>
      <c r="B8" s="32">
        <v>1.5</v>
      </c>
      <c r="C8" s="5">
        <f t="shared" ref="C8" si="9">SUM(E8*E8*D8*507/1000000)</f>
        <v>0.42638700000000002</v>
      </c>
      <c r="D8" s="32">
        <v>1</v>
      </c>
      <c r="E8" s="32">
        <v>29</v>
      </c>
      <c r="F8" s="32">
        <v>1</v>
      </c>
      <c r="G8" s="5">
        <f t="shared" ref="G8" si="10">SUM(E8*E8*D8*F8*330/800000)</f>
        <v>0.34691250000000001</v>
      </c>
      <c r="H8" s="6">
        <v>0.65</v>
      </c>
      <c r="I8" s="7">
        <v>4080</v>
      </c>
      <c r="J8" s="5">
        <f>SUM(G8*I8)</f>
        <v>1415.403</v>
      </c>
      <c r="K8" s="5">
        <f>SUM(H8*300)</f>
        <v>195</v>
      </c>
      <c r="L8" s="5">
        <f>SUM(G8*50)</f>
        <v>17.345625000000002</v>
      </c>
      <c r="M8" s="5">
        <f t="shared" ref="M8" si="11">SUM(J8+L8)</f>
        <v>1432.7486249999999</v>
      </c>
      <c r="N8" s="5">
        <f t="shared" ref="N8" si="12">SUM(M8+K8)</f>
        <v>1627.7486249999999</v>
      </c>
      <c r="O8" s="5">
        <f t="shared" ref="O8" si="13">N8+(N8*4.1%)</f>
        <v>1694.486318625</v>
      </c>
      <c r="P8" s="5">
        <f t="shared" ref="P8" si="14">SUM(O8/300)</f>
        <v>5.6482877287499997</v>
      </c>
      <c r="Q8" s="5">
        <f t="shared" ref="Q8" si="15">O8+(O8*5%)</f>
        <v>1779.2106345562499</v>
      </c>
      <c r="R8" s="18">
        <f t="shared" ref="R8" si="16">SUM(Q8/300)</f>
        <v>5.9307021151874997</v>
      </c>
    </row>
    <row r="9" spans="1:18" s="37" customFormat="1" ht="29.25" customHeight="1" x14ac:dyDescent="0.25">
      <c r="A9" s="23">
        <v>2</v>
      </c>
      <c r="B9" s="33">
        <v>1.5</v>
      </c>
      <c r="C9" s="22">
        <f>SUM(C7:C8)</f>
        <v>1.1655930000000001</v>
      </c>
      <c r="D9" s="69" t="s">
        <v>22</v>
      </c>
      <c r="E9" s="69"/>
      <c r="F9" s="33">
        <v>1</v>
      </c>
      <c r="G9" s="22">
        <f>SUM(G7:G8)</f>
        <v>0.94833750000000006</v>
      </c>
      <c r="H9" s="22">
        <f>SUM(H7:H8)</f>
        <v>1.3</v>
      </c>
      <c r="I9" s="29">
        <v>4080</v>
      </c>
      <c r="J9" s="22">
        <f t="shared" ref="J9:Q9" si="17">SUM(J7:J8)</f>
        <v>3869.2169999999996</v>
      </c>
      <c r="K9" s="22">
        <f t="shared" si="17"/>
        <v>390</v>
      </c>
      <c r="L9" s="22">
        <f t="shared" si="17"/>
        <v>47.416875000000005</v>
      </c>
      <c r="M9" s="22">
        <f t="shared" si="17"/>
        <v>3916.6338749999995</v>
      </c>
      <c r="N9" s="22">
        <f t="shared" si="17"/>
        <v>4306.6338749999995</v>
      </c>
      <c r="O9" s="22">
        <f t="shared" si="17"/>
        <v>4483.2058638750004</v>
      </c>
      <c r="P9" s="22">
        <f t="shared" si="17"/>
        <v>14.944019546250001</v>
      </c>
      <c r="Q9" s="22">
        <f t="shared" si="17"/>
        <v>4707.36615706875</v>
      </c>
      <c r="R9" s="33">
        <f>SUM(R7:R8)</f>
        <v>15.6912205235625</v>
      </c>
    </row>
    <row r="11" spans="1:18" x14ac:dyDescent="0.25">
      <c r="A11" s="23">
        <v>3</v>
      </c>
      <c r="B11" s="32">
        <v>4</v>
      </c>
      <c r="C11" s="5">
        <f>SUM(E11*E11*D11*507/1000000)</f>
        <v>3.115008</v>
      </c>
      <c r="D11" s="32">
        <v>6</v>
      </c>
      <c r="E11" s="32">
        <v>32</v>
      </c>
      <c r="F11" s="32">
        <v>1</v>
      </c>
      <c r="G11" s="5">
        <f>SUM(E11*E11*D11*F11*330/800000)</f>
        <v>2.5344000000000002</v>
      </c>
      <c r="H11" s="6">
        <v>1.25</v>
      </c>
      <c r="I11" s="7">
        <v>4080</v>
      </c>
      <c r="J11" s="5">
        <f>SUM(G11*I11)</f>
        <v>10340.352000000001</v>
      </c>
      <c r="K11" s="5">
        <f>SUM(H11*300)</f>
        <v>375</v>
      </c>
      <c r="L11" s="5">
        <f>SUM(G11*50)</f>
        <v>126.72000000000001</v>
      </c>
      <c r="M11" s="5">
        <f>SUM(J11+L11)</f>
        <v>10467.072</v>
      </c>
      <c r="N11" s="5">
        <f>SUM(M11+K11)</f>
        <v>10842.072</v>
      </c>
      <c r="O11" s="5">
        <f>N11+(N11*4.1%)</f>
        <v>11286.596952</v>
      </c>
      <c r="P11" s="5">
        <f>SUM(O11/300)</f>
        <v>37.621989839999998</v>
      </c>
      <c r="Q11" s="5">
        <f>O11+(O11*5%)</f>
        <v>11850.9267996</v>
      </c>
      <c r="R11" s="18">
        <f>SUM(Q11/300)</f>
        <v>39.503089332000002</v>
      </c>
    </row>
    <row r="12" spans="1:18" x14ac:dyDescent="0.25">
      <c r="A12" s="23">
        <v>3</v>
      </c>
      <c r="B12" s="32">
        <v>4</v>
      </c>
      <c r="C12" s="5">
        <f t="shared" ref="C12" si="18">SUM(E12*E12*D12*507/1000000)</f>
        <v>0.55212300000000003</v>
      </c>
      <c r="D12" s="32">
        <v>1</v>
      </c>
      <c r="E12" s="32">
        <v>33</v>
      </c>
      <c r="F12" s="32">
        <v>1</v>
      </c>
      <c r="G12" s="5">
        <f t="shared" ref="G12" si="19">SUM(E12*E12*D12*F12*330/800000)</f>
        <v>0.44921250000000001</v>
      </c>
      <c r="H12" s="6">
        <v>1.25</v>
      </c>
      <c r="I12" s="7">
        <v>4080</v>
      </c>
      <c r="J12" s="5">
        <f>SUM(G12*I12)</f>
        <v>1832.787</v>
      </c>
      <c r="K12" s="5">
        <f>SUM(H12*300)</f>
        <v>375</v>
      </c>
      <c r="L12" s="5">
        <f>SUM(G12*50)</f>
        <v>22.460625</v>
      </c>
      <c r="M12" s="5">
        <f t="shared" ref="M12" si="20">SUM(J12+L12)</f>
        <v>1855.247625</v>
      </c>
      <c r="N12" s="5">
        <f t="shared" ref="N12" si="21">SUM(M12+K12)</f>
        <v>2230.247625</v>
      </c>
      <c r="O12" s="5">
        <f t="shared" ref="O12" si="22">N12+(N12*4.1%)</f>
        <v>2321.6877776249999</v>
      </c>
      <c r="P12" s="5">
        <f t="shared" ref="P12" si="23">SUM(O12/300)</f>
        <v>7.7389592587499996</v>
      </c>
      <c r="Q12" s="5">
        <f t="shared" ref="Q12" si="24">O12+(O12*5%)</f>
        <v>2437.77216650625</v>
      </c>
      <c r="R12" s="18">
        <f t="shared" ref="R12" si="25">SUM(Q12/300)</f>
        <v>8.1259072216875001</v>
      </c>
    </row>
    <row r="13" spans="1:18" s="37" customFormat="1" ht="30" customHeight="1" x14ac:dyDescent="0.25">
      <c r="A13" s="23">
        <v>3</v>
      </c>
      <c r="B13" s="33">
        <v>4</v>
      </c>
      <c r="C13" s="22">
        <f>SUM(C11:C12)</f>
        <v>3.6671309999999999</v>
      </c>
      <c r="D13" s="69" t="s">
        <v>23</v>
      </c>
      <c r="E13" s="69"/>
      <c r="F13" s="33">
        <v>1</v>
      </c>
      <c r="G13" s="22">
        <f>SUM(G11:G12)</f>
        <v>2.9836125000000004</v>
      </c>
      <c r="H13" s="22">
        <f>SUM(H11:H12)</f>
        <v>2.5</v>
      </c>
      <c r="I13" s="33">
        <v>4080</v>
      </c>
      <c r="J13" s="22">
        <f t="shared" ref="J13:Q13" si="26">SUM(J11:J12)</f>
        <v>12173.139000000001</v>
      </c>
      <c r="K13" s="22">
        <f t="shared" si="26"/>
        <v>750</v>
      </c>
      <c r="L13" s="22">
        <f t="shared" si="26"/>
        <v>149.18062500000002</v>
      </c>
      <c r="M13" s="22">
        <f t="shared" si="26"/>
        <v>12322.319625</v>
      </c>
      <c r="N13" s="22">
        <f t="shared" si="26"/>
        <v>13072.319625</v>
      </c>
      <c r="O13" s="22">
        <f t="shared" si="26"/>
        <v>13608.284729625</v>
      </c>
      <c r="P13" s="22">
        <f t="shared" si="26"/>
        <v>45.360949098749998</v>
      </c>
      <c r="Q13" s="22">
        <f t="shared" si="26"/>
        <v>14288.698966106251</v>
      </c>
      <c r="R13" s="33">
        <f>SUM(R11:R12)</f>
        <v>47.6289965536875</v>
      </c>
    </row>
    <row r="15" spans="1:18" x14ac:dyDescent="0.25">
      <c r="A15" s="23">
        <v>4</v>
      </c>
      <c r="B15" s="32">
        <v>4</v>
      </c>
      <c r="C15" s="5">
        <f>SUM(E15*E15*D15*507/1000000)</f>
        <v>2.5958399999999999</v>
      </c>
      <c r="D15" s="32">
        <v>5</v>
      </c>
      <c r="E15" s="32">
        <v>32</v>
      </c>
      <c r="F15" s="32">
        <v>1</v>
      </c>
      <c r="G15" s="5">
        <f>SUM(E15*E15*D15*F15*330/800000)</f>
        <v>2.1120000000000001</v>
      </c>
      <c r="H15" s="6">
        <v>1.25</v>
      </c>
      <c r="I15" s="7">
        <v>4080</v>
      </c>
      <c r="J15" s="5">
        <f>SUM(G15*I15)</f>
        <v>8616.9600000000009</v>
      </c>
      <c r="K15" s="5">
        <f>SUM(H15*300)</f>
        <v>375</v>
      </c>
      <c r="L15" s="5">
        <f>SUM(G15*50)</f>
        <v>105.60000000000001</v>
      </c>
      <c r="M15" s="5">
        <f>SUM(J15+L15)</f>
        <v>8722.5600000000013</v>
      </c>
      <c r="N15" s="5">
        <f>SUM(M15+K15)</f>
        <v>9097.5600000000013</v>
      </c>
      <c r="O15" s="5">
        <f>N15+(N15*4.1%)</f>
        <v>9470.5599600000005</v>
      </c>
      <c r="P15" s="5">
        <f>SUM(O15/300)</f>
        <v>31.568533200000001</v>
      </c>
      <c r="Q15" s="5">
        <f>O15+(O15*5%)</f>
        <v>9944.0879580000001</v>
      </c>
      <c r="R15" s="18">
        <f>SUM(Q15/300)</f>
        <v>33.146959860000003</v>
      </c>
    </row>
    <row r="16" spans="1:18" x14ac:dyDescent="0.25">
      <c r="A16" s="23">
        <v>4</v>
      </c>
      <c r="B16" s="32">
        <v>4</v>
      </c>
      <c r="C16" s="5">
        <f t="shared" ref="C16" si="27">SUM(E16*E16*D16*507/1000000)</f>
        <v>1.1042460000000001</v>
      </c>
      <c r="D16" s="32">
        <v>2</v>
      </c>
      <c r="E16" s="32">
        <v>33</v>
      </c>
      <c r="F16" s="32">
        <v>1</v>
      </c>
      <c r="G16" s="5">
        <f t="shared" ref="G16" si="28">SUM(E16*E16*D16*F16*330/800000)</f>
        <v>0.89842500000000003</v>
      </c>
      <c r="H16" s="6">
        <v>1.25</v>
      </c>
      <c r="I16" s="7">
        <v>4080</v>
      </c>
      <c r="J16" s="5">
        <f>SUM(G16*I16)</f>
        <v>3665.5740000000001</v>
      </c>
      <c r="K16" s="5">
        <f>SUM(H16*300)</f>
        <v>375</v>
      </c>
      <c r="L16" s="5">
        <f>SUM(G16*50)</f>
        <v>44.921250000000001</v>
      </c>
      <c r="M16" s="5">
        <f t="shared" ref="M16" si="29">SUM(J16+L16)</f>
        <v>3710.4952499999999</v>
      </c>
      <c r="N16" s="5">
        <f t="shared" ref="N16" si="30">SUM(M16+K16)</f>
        <v>4085.4952499999999</v>
      </c>
      <c r="O16" s="5">
        <f t="shared" ref="O16" si="31">N16+(N16*4.1%)</f>
        <v>4253.0005552499997</v>
      </c>
      <c r="P16" s="5">
        <f t="shared" ref="P16" si="32">SUM(O16/300)</f>
        <v>14.1766685175</v>
      </c>
      <c r="Q16" s="5">
        <f t="shared" ref="Q16" si="33">O16+(O16*5%)</f>
        <v>4465.6505830124997</v>
      </c>
      <c r="R16" s="18">
        <f t="shared" ref="R16" si="34">SUM(Q16/300)</f>
        <v>14.885501943374999</v>
      </c>
    </row>
    <row r="17" spans="1:18" s="37" customFormat="1" ht="29.25" customHeight="1" x14ac:dyDescent="0.25">
      <c r="A17" s="23">
        <v>4</v>
      </c>
      <c r="B17" s="33">
        <v>4</v>
      </c>
      <c r="C17" s="22">
        <f>SUM(C15:C16)</f>
        <v>3.7000859999999998</v>
      </c>
      <c r="D17" s="69" t="s">
        <v>24</v>
      </c>
      <c r="E17" s="69"/>
      <c r="F17" s="33">
        <v>1</v>
      </c>
      <c r="G17" s="22">
        <f>SUM(G15:G16)</f>
        <v>3.0104250000000001</v>
      </c>
      <c r="H17" s="22">
        <f>SUM(H15:H16)</f>
        <v>2.5</v>
      </c>
      <c r="I17" s="33">
        <v>4080</v>
      </c>
      <c r="J17" s="22">
        <f t="shared" ref="J17:Q17" si="35">SUM(J15:J16)</f>
        <v>12282.534000000001</v>
      </c>
      <c r="K17" s="22">
        <f t="shared" si="35"/>
        <v>750</v>
      </c>
      <c r="L17" s="22">
        <f t="shared" si="35"/>
        <v>150.52125000000001</v>
      </c>
      <c r="M17" s="22">
        <f t="shared" si="35"/>
        <v>12433.055250000001</v>
      </c>
      <c r="N17" s="22">
        <f t="shared" si="35"/>
        <v>13183.055250000001</v>
      </c>
      <c r="O17" s="22">
        <f t="shared" si="35"/>
        <v>13723.560515249999</v>
      </c>
      <c r="P17" s="22">
        <f t="shared" si="35"/>
        <v>45.745201717500002</v>
      </c>
      <c r="Q17" s="22">
        <f t="shared" si="35"/>
        <v>14409.738541012499</v>
      </c>
      <c r="R17" s="33">
        <f>SUM(R15:R16)</f>
        <v>48.032461803375</v>
      </c>
    </row>
    <row r="19" spans="1:18" x14ac:dyDescent="0.25">
      <c r="A19" s="23">
        <v>5</v>
      </c>
      <c r="B19" s="32"/>
      <c r="C19" s="5">
        <f>SUM(E19*E19*D19*507/1000000)</f>
        <v>0</v>
      </c>
      <c r="D19" s="32"/>
      <c r="E19" s="32"/>
      <c r="F19" s="32">
        <v>1</v>
      </c>
      <c r="G19" s="5">
        <f>SUM(E19*E19*D19*F19*330/800000)</f>
        <v>0</v>
      </c>
      <c r="H19" s="6"/>
      <c r="I19" s="7">
        <v>4080</v>
      </c>
      <c r="J19" s="5">
        <f>SUM(G19*I19)</f>
        <v>0</v>
      </c>
      <c r="K19" s="5">
        <f>SUM(H19*300)</f>
        <v>0</v>
      </c>
      <c r="L19" s="5">
        <f>SUM(G19*50)</f>
        <v>0</v>
      </c>
      <c r="M19" s="5">
        <f>SUM(J19+L19)</f>
        <v>0</v>
      </c>
      <c r="N19" s="5">
        <f>SUM(M19+K19)</f>
        <v>0</v>
      </c>
      <c r="O19" s="5">
        <f>N19+(N19*4.1%)</f>
        <v>0</v>
      </c>
      <c r="P19" s="5">
        <f>SUM(O19/300)</f>
        <v>0</v>
      </c>
      <c r="Q19" s="5">
        <f>O19+(O19*5%)</f>
        <v>0</v>
      </c>
      <c r="R19" s="18">
        <f>SUM(Q19/300)</f>
        <v>0</v>
      </c>
    </row>
    <row r="20" spans="1:18" x14ac:dyDescent="0.25">
      <c r="A20" s="23">
        <v>5</v>
      </c>
      <c r="B20" s="32"/>
      <c r="C20" s="5">
        <f t="shared" ref="C20" si="36">SUM(E20*E20*D20*507/1000000)</f>
        <v>0</v>
      </c>
      <c r="D20" s="32"/>
      <c r="E20" s="32"/>
      <c r="F20" s="32">
        <v>1</v>
      </c>
      <c r="G20" s="5">
        <f t="shared" ref="G20" si="37">SUM(E20*E20*D20*F20*330/800000)</f>
        <v>0</v>
      </c>
      <c r="H20" s="6"/>
      <c r="I20" s="7">
        <v>4080</v>
      </c>
      <c r="J20" s="5">
        <f>SUM(G20*I20)</f>
        <v>0</v>
      </c>
      <c r="K20" s="5">
        <f>SUM(H20*300)</f>
        <v>0</v>
      </c>
      <c r="L20" s="5">
        <f>SUM(G20*50)</f>
        <v>0</v>
      </c>
      <c r="M20" s="5">
        <f t="shared" ref="M20" si="38">SUM(J20+L20)</f>
        <v>0</v>
      </c>
      <c r="N20" s="5">
        <f t="shared" ref="N20" si="39">SUM(M20+K20)</f>
        <v>0</v>
      </c>
      <c r="O20" s="5">
        <f t="shared" ref="O20" si="40">N20+(N20*4.1%)</f>
        <v>0</v>
      </c>
      <c r="P20" s="5">
        <f t="shared" ref="P20" si="41">SUM(O20/300)</f>
        <v>0</v>
      </c>
      <c r="Q20" s="5">
        <f t="shared" ref="Q20" si="42">O20+(O20*5%)</f>
        <v>0</v>
      </c>
      <c r="R20" s="18">
        <f t="shared" ref="R20" si="43">SUM(Q20/300)</f>
        <v>0</v>
      </c>
    </row>
    <row r="21" spans="1:18" s="37" customFormat="1" ht="29.25" customHeight="1" x14ac:dyDescent="0.25">
      <c r="A21" s="23">
        <v>5</v>
      </c>
      <c r="B21" s="33"/>
      <c r="C21" s="22">
        <f>SUM(C19:C20)</f>
        <v>0</v>
      </c>
      <c r="D21" s="69"/>
      <c r="E21" s="69"/>
      <c r="F21" s="33">
        <v>1</v>
      </c>
      <c r="G21" s="22">
        <f>SUM(G19:G20)</f>
        <v>0</v>
      </c>
      <c r="H21" s="22">
        <f>SUM(H19:H20)</f>
        <v>0</v>
      </c>
      <c r="I21" s="33">
        <v>4080</v>
      </c>
      <c r="J21" s="22">
        <f t="shared" ref="J21:R21" si="44">SUM(J19:J20)</f>
        <v>0</v>
      </c>
      <c r="K21" s="22">
        <f t="shared" si="44"/>
        <v>0</v>
      </c>
      <c r="L21" s="22">
        <f t="shared" si="44"/>
        <v>0</v>
      </c>
      <c r="M21" s="22">
        <f t="shared" si="44"/>
        <v>0</v>
      </c>
      <c r="N21" s="22">
        <f t="shared" si="44"/>
        <v>0</v>
      </c>
      <c r="O21" s="22">
        <f t="shared" si="44"/>
        <v>0</v>
      </c>
      <c r="P21" s="22">
        <f t="shared" si="44"/>
        <v>0</v>
      </c>
      <c r="Q21" s="22">
        <f t="shared" si="44"/>
        <v>0</v>
      </c>
      <c r="R21" s="33">
        <f t="shared" si="44"/>
        <v>0</v>
      </c>
    </row>
    <row r="23" spans="1:18" x14ac:dyDescent="0.25">
      <c r="A23" s="23">
        <v>6</v>
      </c>
      <c r="B23" s="32"/>
      <c r="C23" s="5">
        <f>SUM(E23*E23*D23*507/1000000)</f>
        <v>0</v>
      </c>
      <c r="D23" s="32"/>
      <c r="E23" s="32"/>
      <c r="F23" s="32">
        <v>1</v>
      </c>
      <c r="G23" s="5">
        <f>SUM(E23*E23*D23*F23*330/800000)</f>
        <v>0</v>
      </c>
      <c r="H23" s="6"/>
      <c r="I23" s="7">
        <v>4080</v>
      </c>
      <c r="J23" s="5">
        <f>SUM(G23*I23)</f>
        <v>0</v>
      </c>
      <c r="K23" s="5">
        <f>SUM(H23*300)</f>
        <v>0</v>
      </c>
      <c r="L23" s="5">
        <f>SUM(G23*50)</f>
        <v>0</v>
      </c>
      <c r="M23" s="5">
        <f>SUM(J23+L23)</f>
        <v>0</v>
      </c>
      <c r="N23" s="5">
        <f>SUM(M23+K23)</f>
        <v>0</v>
      </c>
      <c r="O23" s="5">
        <f>N23+(N23*4.1%)</f>
        <v>0</v>
      </c>
      <c r="P23" s="5">
        <f>SUM(O23/300)</f>
        <v>0</v>
      </c>
      <c r="Q23" s="5">
        <f>O23+(O23*5%)</f>
        <v>0</v>
      </c>
      <c r="R23" s="18">
        <f>SUM(Q23/300)</f>
        <v>0</v>
      </c>
    </row>
    <row r="24" spans="1:18" x14ac:dyDescent="0.25">
      <c r="A24" s="23">
        <v>6</v>
      </c>
      <c r="B24" s="32"/>
      <c r="C24" s="5">
        <f t="shared" ref="C24" si="45">SUM(E24*E24*D24*507/1000000)</f>
        <v>0</v>
      </c>
      <c r="D24" s="32"/>
      <c r="E24" s="32"/>
      <c r="F24" s="32">
        <v>1</v>
      </c>
      <c r="G24" s="5">
        <f t="shared" ref="G24" si="46">SUM(E24*E24*D24*F24*330/800000)</f>
        <v>0</v>
      </c>
      <c r="H24" s="6"/>
      <c r="I24" s="7">
        <v>4080</v>
      </c>
      <c r="J24" s="5">
        <f>SUM(G24*I24)</f>
        <v>0</v>
      </c>
      <c r="K24" s="5">
        <f>SUM(H24*300)</f>
        <v>0</v>
      </c>
      <c r="L24" s="5">
        <f>SUM(G24*50)</f>
        <v>0</v>
      </c>
      <c r="M24" s="5">
        <f t="shared" ref="M24" si="47">SUM(J24+L24)</f>
        <v>0</v>
      </c>
      <c r="N24" s="5">
        <f t="shared" ref="N24" si="48">SUM(M24+K24)</f>
        <v>0</v>
      </c>
      <c r="O24" s="5">
        <f t="shared" ref="O24" si="49">N24+(N24*4.1%)</f>
        <v>0</v>
      </c>
      <c r="P24" s="5">
        <f t="shared" ref="P24" si="50">SUM(O24/300)</f>
        <v>0</v>
      </c>
      <c r="Q24" s="5">
        <f t="shared" ref="Q24" si="51">O24+(O24*5%)</f>
        <v>0</v>
      </c>
      <c r="R24" s="18">
        <f t="shared" ref="R24" si="52">SUM(Q24/300)</f>
        <v>0</v>
      </c>
    </row>
    <row r="25" spans="1:18" ht="30" customHeight="1" x14ac:dyDescent="0.25">
      <c r="A25" s="23">
        <v>6</v>
      </c>
      <c r="B25" s="33"/>
      <c r="C25" s="22">
        <f>SUM(C23:C24)</f>
        <v>0</v>
      </c>
      <c r="D25" s="69"/>
      <c r="E25" s="69"/>
      <c r="F25" s="33">
        <v>1</v>
      </c>
      <c r="G25" s="22">
        <f>SUM(G23:G24)</f>
        <v>0</v>
      </c>
      <c r="H25" s="22">
        <f>SUM(H23:H24)</f>
        <v>0</v>
      </c>
      <c r="I25" s="33">
        <v>4080</v>
      </c>
      <c r="J25" s="22">
        <f t="shared" ref="J25:R25" si="53">SUM(J23:J24)</f>
        <v>0</v>
      </c>
      <c r="K25" s="22">
        <f t="shared" si="53"/>
        <v>0</v>
      </c>
      <c r="L25" s="22">
        <f t="shared" si="53"/>
        <v>0</v>
      </c>
      <c r="M25" s="22">
        <f t="shared" si="53"/>
        <v>0</v>
      </c>
      <c r="N25" s="22">
        <f t="shared" si="53"/>
        <v>0</v>
      </c>
      <c r="O25" s="22">
        <f t="shared" si="53"/>
        <v>0</v>
      </c>
      <c r="P25" s="22">
        <f t="shared" si="53"/>
        <v>0</v>
      </c>
      <c r="Q25" s="22">
        <f t="shared" si="53"/>
        <v>0</v>
      </c>
      <c r="R25" s="33">
        <f t="shared" si="53"/>
        <v>0</v>
      </c>
    </row>
  </sheetData>
  <mergeCells count="7">
    <mergeCell ref="D25:E25"/>
    <mergeCell ref="D21:E21"/>
    <mergeCell ref="A1:R1"/>
    <mergeCell ref="D5:E5"/>
    <mergeCell ref="D9:E9"/>
    <mergeCell ref="D13:E13"/>
    <mergeCell ref="D17:E1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Flx Sheet</vt:lpstr>
      <vt:lpstr>STD Sheet</vt:lpstr>
      <vt:lpstr>Fix Sheet</vt:lpstr>
      <vt:lpstr>Two Gaje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2026-08-01T07:44:47Z</cp:lastPrinted>
  <dcterms:created xsi:type="dcterms:W3CDTF">2026-07-06T08:13:02Z</dcterms:created>
  <dcterms:modified xsi:type="dcterms:W3CDTF">2026-08-07T10:25:27Z</dcterms:modified>
</cp:coreProperties>
</file>